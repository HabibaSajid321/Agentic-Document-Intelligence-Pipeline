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48AA6B1B-092C-4EF8-B169-9539AC42B11C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Quote Worksheet" sheetId="59" r:id="rId1"/>
    <sheet name="Items" sheetId="11" r:id="rId2"/>
    <sheet name="Labor Calculations" sheetId="64" r:id="rId3"/>
    <sheet name="GroupItemsList" sheetId="13" r:id="rId4"/>
    <sheet name="VaultDoors" sheetId="14" state="hidden" r:id="rId5"/>
    <sheet name="drywall" sheetId="46" r:id="rId6"/>
    <sheet name="Lead Calculator" sheetId="47" state="hidden" r:id="rId7"/>
    <sheet name="Steel Calculator" sheetId="49" state="hidden" r:id="rId8"/>
    <sheet name="NewQuote" sheetId="56" state="hidden" r:id="rId9"/>
    <sheet name="plywood" sheetId="61" r:id="rId10"/>
    <sheet name="brick" sheetId="62" r:id="rId11"/>
    <sheet name="wood door" sheetId="63" state="hidden" r:id="rId12"/>
    <sheet name="Current Lead Times" sheetId="60" r:id="rId13"/>
  </sheets>
  <definedNames>
    <definedName name="_xlnm._FilterDatabase" localSheetId="1" hidden="1">Items!$A$1:$K$1</definedName>
    <definedName name="_xlnm.Print_Area" localSheetId="8">NewQuote!$A$1:$R$12</definedName>
    <definedName name="_xlnm.Print_Area" localSheetId="0">'Quote Worksheet'!$A$1:$R$12</definedName>
  </definedNames>
  <calcPr calcId="191029"/>
</workbook>
</file>

<file path=xl/calcChain.xml><?xml version="1.0" encoding="utf-8"?>
<calcChain xmlns="http://schemas.openxmlformats.org/spreadsheetml/2006/main">
  <c r="C13" i="64" l="1"/>
  <c r="C14" i="64"/>
  <c r="C15" i="64"/>
  <c r="C16" i="64"/>
  <c r="C17" i="64"/>
  <c r="R23" i="59"/>
  <c r="L23" i="59" s="1"/>
  <c r="P23" i="59"/>
  <c r="H23" i="59"/>
  <c r="B23" i="59"/>
  <c r="A23" i="59"/>
  <c r="I23" i="59" s="1"/>
  <c r="R22" i="59"/>
  <c r="L22" i="59" s="1"/>
  <c r="P22" i="59"/>
  <c r="N22" i="59"/>
  <c r="G22" i="59"/>
  <c r="F22" i="59"/>
  <c r="E22" i="59"/>
  <c r="H22" i="59" s="1"/>
  <c r="B22" i="59"/>
  <c r="A22" i="59"/>
  <c r="K22" i="59" s="1"/>
  <c r="R21" i="59"/>
  <c r="P21" i="59"/>
  <c r="L21" i="59"/>
  <c r="G21" i="59"/>
  <c r="F21" i="59"/>
  <c r="E21" i="59"/>
  <c r="I21" i="59" s="1"/>
  <c r="B21" i="59"/>
  <c r="A21" i="59"/>
  <c r="K21" i="59" s="1"/>
  <c r="R20" i="59"/>
  <c r="L20" i="59" s="1"/>
  <c r="P20" i="59"/>
  <c r="N20" i="59"/>
  <c r="G20" i="59"/>
  <c r="F20" i="59"/>
  <c r="E20" i="59"/>
  <c r="I20" i="59" s="1"/>
  <c r="B20" i="59"/>
  <c r="A20" i="59"/>
  <c r="A41" i="61"/>
  <c r="A30" i="61"/>
  <c r="A19" i="61"/>
  <c r="A8" i="61"/>
  <c r="D20" i="60"/>
  <c r="D10" i="60"/>
  <c r="D9" i="60"/>
  <c r="D4" i="60"/>
  <c r="D3" i="60"/>
  <c r="A85" i="46"/>
  <c r="A74" i="46"/>
  <c r="A63" i="46"/>
  <c r="A52" i="46"/>
  <c r="A41" i="46"/>
  <c r="A30" i="46"/>
  <c r="A19" i="46"/>
  <c r="A8" i="46"/>
  <c r="A42" i="62"/>
  <c r="A33" i="62"/>
  <c r="A24" i="62"/>
  <c r="A44" i="62"/>
  <c r="A43" i="62"/>
  <c r="A35" i="62"/>
  <c r="A34" i="62"/>
  <c r="A26" i="62"/>
  <c r="A25" i="62"/>
  <c r="A17" i="62"/>
  <c r="A16" i="62"/>
  <c r="A15" i="62"/>
  <c r="A8" i="62"/>
  <c r="A7" i="62"/>
  <c r="A6" i="62"/>
  <c r="J20" i="59" l="1"/>
  <c r="K20" i="59" s="1"/>
  <c r="M21" i="59"/>
  <c r="M22" i="59"/>
  <c r="Q22" i="59" s="1"/>
  <c r="I22" i="59"/>
  <c r="N23" i="59"/>
  <c r="H21" i="59"/>
  <c r="H20" i="59"/>
  <c r="N21" i="59"/>
  <c r="Q21" i="59" s="1"/>
  <c r="D8" i="60"/>
  <c r="D2" i="60"/>
  <c r="M20" i="59" l="1"/>
  <c r="Q20" i="59"/>
  <c r="C86" i="11"/>
  <c r="C85" i="11"/>
  <c r="C102" i="11"/>
  <c r="C101" i="11"/>
  <c r="C100" i="11"/>
  <c r="C99" i="11"/>
  <c r="C98" i="11"/>
  <c r="C97" i="11"/>
  <c r="C61" i="11"/>
  <c r="J23" i="59" s="1"/>
  <c r="K23" i="59" s="1"/>
  <c r="C60" i="11"/>
  <c r="C63" i="11"/>
  <c r="M23" i="59" l="1"/>
  <c r="Q23" i="59"/>
  <c r="N15" i="62"/>
  <c r="A13" i="63"/>
  <c r="A12" i="63"/>
  <c r="A11" i="63"/>
  <c r="A10" i="63"/>
  <c r="A9" i="63"/>
  <c r="N9" i="63" s="1"/>
  <c r="A8" i="63"/>
  <c r="A7" i="63"/>
  <c r="A6" i="63"/>
  <c r="R13" i="63"/>
  <c r="L13" i="63" s="1"/>
  <c r="P13" i="63"/>
  <c r="N13" i="63"/>
  <c r="G13" i="63"/>
  <c r="F13" i="63"/>
  <c r="E13" i="63"/>
  <c r="D13" i="63"/>
  <c r="B13" i="63"/>
  <c r="R12" i="63"/>
  <c r="L12" i="63" s="1"/>
  <c r="P12" i="63"/>
  <c r="N12" i="63"/>
  <c r="G12" i="63"/>
  <c r="F12" i="63"/>
  <c r="E12" i="63"/>
  <c r="D12" i="63"/>
  <c r="B12" i="63"/>
  <c r="R11" i="63"/>
  <c r="L11" i="63" s="1"/>
  <c r="P11" i="63"/>
  <c r="N11" i="63"/>
  <c r="G11" i="63"/>
  <c r="F11" i="63"/>
  <c r="E11" i="63"/>
  <c r="J11" i="63" s="1"/>
  <c r="D11" i="63"/>
  <c r="B11" i="63"/>
  <c r="R10" i="63"/>
  <c r="L10" i="63" s="1"/>
  <c r="P10" i="63"/>
  <c r="G10" i="63"/>
  <c r="F10" i="63"/>
  <c r="E10" i="63"/>
  <c r="D10" i="63"/>
  <c r="B10" i="63"/>
  <c r="N10" i="63"/>
  <c r="R9" i="63"/>
  <c r="L9" i="63" s="1"/>
  <c r="P9" i="63"/>
  <c r="G9" i="63"/>
  <c r="F9" i="63"/>
  <c r="E9" i="63"/>
  <c r="J9" i="63" s="1"/>
  <c r="D9" i="63"/>
  <c r="B9" i="63"/>
  <c r="R8" i="63"/>
  <c r="L8" i="63" s="1"/>
  <c r="P8" i="63"/>
  <c r="G8" i="63"/>
  <c r="F8" i="63"/>
  <c r="E8" i="63"/>
  <c r="J8" i="63" s="1"/>
  <c r="D8" i="63"/>
  <c r="B8" i="63"/>
  <c r="N8" i="63"/>
  <c r="R7" i="63"/>
  <c r="L7" i="63" s="1"/>
  <c r="P7" i="63"/>
  <c r="G7" i="63"/>
  <c r="F7" i="63"/>
  <c r="E7" i="63"/>
  <c r="J7" i="63" s="1"/>
  <c r="D7" i="63"/>
  <c r="B7" i="63"/>
  <c r="N7" i="63"/>
  <c r="R6" i="63"/>
  <c r="L6" i="63" s="1"/>
  <c r="P6" i="63"/>
  <c r="G6" i="63"/>
  <c r="F6" i="63"/>
  <c r="E6" i="63"/>
  <c r="D6" i="63"/>
  <c r="B6" i="63"/>
  <c r="N6" i="63"/>
  <c r="R44" i="61"/>
  <c r="L44" i="61" s="1"/>
  <c r="P44" i="61"/>
  <c r="G44" i="61"/>
  <c r="F44" i="61"/>
  <c r="E44" i="61"/>
  <c r="J44" i="61" s="1"/>
  <c r="B44" i="61"/>
  <c r="A44" i="61"/>
  <c r="N44" i="61" s="1"/>
  <c r="R43" i="61"/>
  <c r="L43" i="61" s="1"/>
  <c r="P43" i="61"/>
  <c r="G43" i="61"/>
  <c r="F43" i="61"/>
  <c r="E43" i="61"/>
  <c r="I43" i="61" s="1"/>
  <c r="B43" i="61"/>
  <c r="A43" i="61"/>
  <c r="N43" i="61" s="1"/>
  <c r="R42" i="61"/>
  <c r="L42" i="61" s="1"/>
  <c r="P42" i="61"/>
  <c r="G42" i="61"/>
  <c r="F42" i="61"/>
  <c r="E42" i="61"/>
  <c r="D42" i="61"/>
  <c r="B42" i="61"/>
  <c r="A42" i="61"/>
  <c r="N42" i="61" s="1"/>
  <c r="R41" i="61"/>
  <c r="L41" i="61" s="1"/>
  <c r="P41" i="61"/>
  <c r="G41" i="61"/>
  <c r="F41" i="61"/>
  <c r="E41" i="61"/>
  <c r="H41" i="61" s="1"/>
  <c r="B41" i="61"/>
  <c r="N41" i="61"/>
  <c r="R40" i="61"/>
  <c r="L40" i="61" s="1"/>
  <c r="P40" i="61"/>
  <c r="G40" i="61"/>
  <c r="F40" i="61"/>
  <c r="E40" i="61"/>
  <c r="B40" i="61"/>
  <c r="A40" i="61"/>
  <c r="R39" i="61"/>
  <c r="L39" i="61" s="1"/>
  <c r="P39" i="61"/>
  <c r="H39" i="61"/>
  <c r="B39" i="61"/>
  <c r="A39" i="61"/>
  <c r="N39" i="61" s="1"/>
  <c r="N35" i="62"/>
  <c r="N26" i="62"/>
  <c r="N17" i="62"/>
  <c r="N43" i="62"/>
  <c r="N34" i="62"/>
  <c r="N25" i="62"/>
  <c r="N16" i="62"/>
  <c r="R45" i="62"/>
  <c r="L45" i="62" s="1"/>
  <c r="P45" i="62"/>
  <c r="H45" i="62"/>
  <c r="B45" i="62"/>
  <c r="A45" i="62"/>
  <c r="N45" i="62" s="1"/>
  <c r="R44" i="62"/>
  <c r="L44" i="62" s="1"/>
  <c r="P44" i="62"/>
  <c r="G44" i="62"/>
  <c r="F44" i="62"/>
  <c r="E44" i="62"/>
  <c r="B44" i="62"/>
  <c r="N44" i="62"/>
  <c r="R43" i="62"/>
  <c r="L43" i="62" s="1"/>
  <c r="P43" i="62"/>
  <c r="G43" i="62"/>
  <c r="F43" i="62"/>
  <c r="E43" i="62"/>
  <c r="I43" i="62" s="1"/>
  <c r="B43" i="62"/>
  <c r="R42" i="62"/>
  <c r="L42" i="62" s="1"/>
  <c r="P42" i="62"/>
  <c r="N42" i="62"/>
  <c r="G42" i="62"/>
  <c r="F42" i="62"/>
  <c r="E42" i="62"/>
  <c r="H42" i="62" s="1"/>
  <c r="B42" i="62"/>
  <c r="R36" i="62"/>
  <c r="L36" i="62" s="1"/>
  <c r="P36" i="62"/>
  <c r="H36" i="62"/>
  <c r="B36" i="62"/>
  <c r="A36" i="62"/>
  <c r="N36" i="62" s="1"/>
  <c r="R35" i="62"/>
  <c r="L35" i="62" s="1"/>
  <c r="P35" i="62"/>
  <c r="G35" i="62"/>
  <c r="F35" i="62"/>
  <c r="E35" i="62"/>
  <c r="B35" i="62"/>
  <c r="R34" i="62"/>
  <c r="L34" i="62" s="1"/>
  <c r="P34" i="62"/>
  <c r="G34" i="62"/>
  <c r="F34" i="62"/>
  <c r="E34" i="62"/>
  <c r="I34" i="62" s="1"/>
  <c r="B34" i="62"/>
  <c r="R33" i="62"/>
  <c r="L33" i="62" s="1"/>
  <c r="P33" i="62"/>
  <c r="N33" i="62"/>
  <c r="G33" i="62"/>
  <c r="F33" i="62"/>
  <c r="E33" i="62"/>
  <c r="I33" i="62" s="1"/>
  <c r="B33" i="62"/>
  <c r="R27" i="62"/>
  <c r="L27" i="62" s="1"/>
  <c r="P27" i="62"/>
  <c r="H27" i="62"/>
  <c r="B27" i="62"/>
  <c r="A27" i="62"/>
  <c r="N27" i="62" s="1"/>
  <c r="R26" i="62"/>
  <c r="L26" i="62" s="1"/>
  <c r="P26" i="62"/>
  <c r="G26" i="62"/>
  <c r="F26" i="62"/>
  <c r="E26" i="62"/>
  <c r="K26" i="62" s="1"/>
  <c r="B26" i="62"/>
  <c r="R25" i="62"/>
  <c r="L25" i="62" s="1"/>
  <c r="P25" i="62"/>
  <c r="G25" i="62"/>
  <c r="F25" i="62"/>
  <c r="E25" i="62"/>
  <c r="B25" i="62"/>
  <c r="R24" i="62"/>
  <c r="L24" i="62" s="1"/>
  <c r="P24" i="62"/>
  <c r="G24" i="62"/>
  <c r="F24" i="62"/>
  <c r="E24" i="62"/>
  <c r="H24" i="62" s="1"/>
  <c r="B24" i="62"/>
  <c r="N24" i="62"/>
  <c r="R18" i="62"/>
  <c r="L18" i="62" s="1"/>
  <c r="P18" i="62"/>
  <c r="H18" i="62"/>
  <c r="B18" i="62"/>
  <c r="A18" i="62"/>
  <c r="N18" i="62" s="1"/>
  <c r="R17" i="62"/>
  <c r="L17" i="62" s="1"/>
  <c r="P17" i="62"/>
  <c r="G17" i="62"/>
  <c r="F17" i="62"/>
  <c r="E17" i="62"/>
  <c r="B17" i="62"/>
  <c r="R16" i="62"/>
  <c r="L16" i="62" s="1"/>
  <c r="P16" i="62"/>
  <c r="G16" i="62"/>
  <c r="F16" i="62"/>
  <c r="E16" i="62"/>
  <c r="B16" i="62"/>
  <c r="R15" i="62"/>
  <c r="L15" i="62" s="1"/>
  <c r="P15" i="62"/>
  <c r="G15" i="62"/>
  <c r="F15" i="62"/>
  <c r="E15" i="62"/>
  <c r="H15" i="62" s="1"/>
  <c r="B15" i="62"/>
  <c r="A9" i="62"/>
  <c r="G6" i="62"/>
  <c r="F6" i="62"/>
  <c r="E6" i="62"/>
  <c r="H6" i="62" s="1"/>
  <c r="I42" i="61" l="1"/>
  <c r="K11" i="63"/>
  <c r="M11" i="63" s="1"/>
  <c r="Q11" i="63" s="1"/>
  <c r="I6" i="63"/>
  <c r="I10" i="63"/>
  <c r="I16" i="62"/>
  <c r="I35" i="62"/>
  <c r="H13" i="63"/>
  <c r="I13" i="63" s="1"/>
  <c r="H12" i="63"/>
  <c r="I12" i="63" s="1"/>
  <c r="I11" i="63"/>
  <c r="H11" i="63"/>
  <c r="H10" i="63"/>
  <c r="J10" i="63"/>
  <c r="K10" i="63" s="1"/>
  <c r="I9" i="63"/>
  <c r="H9" i="63"/>
  <c r="K9" i="63"/>
  <c r="I8" i="63"/>
  <c r="H8" i="63"/>
  <c r="K8" i="63"/>
  <c r="I7" i="63"/>
  <c r="H7" i="63"/>
  <c r="K7" i="63"/>
  <c r="H6" i="63"/>
  <c r="J6" i="63"/>
  <c r="K6" i="63" s="1"/>
  <c r="H40" i="61"/>
  <c r="J40" i="61" s="1"/>
  <c r="K40" i="61" s="1"/>
  <c r="H42" i="61"/>
  <c r="I39" i="61"/>
  <c r="N40" i="61"/>
  <c r="H43" i="61"/>
  <c r="I44" i="61"/>
  <c r="J41" i="61"/>
  <c r="K41" i="61" s="1"/>
  <c r="J42" i="61"/>
  <c r="K42" i="61" s="1"/>
  <c r="H44" i="61"/>
  <c r="I41" i="61"/>
  <c r="J43" i="61"/>
  <c r="K43" i="61" s="1"/>
  <c r="K44" i="61"/>
  <c r="J18" i="62"/>
  <c r="K18" i="62" s="1"/>
  <c r="H35" i="62"/>
  <c r="J36" i="62"/>
  <c r="K36" i="62" s="1"/>
  <c r="J27" i="62"/>
  <c r="K27" i="62" s="1"/>
  <c r="J45" i="62"/>
  <c r="K45" i="62" s="1"/>
  <c r="K35" i="62"/>
  <c r="I25" i="62"/>
  <c r="H43" i="62"/>
  <c r="I44" i="62"/>
  <c r="I45" i="62"/>
  <c r="J42" i="62"/>
  <c r="K42" i="62" s="1"/>
  <c r="H44" i="62"/>
  <c r="I42" i="62"/>
  <c r="K43" i="62"/>
  <c r="K44" i="62"/>
  <c r="H33" i="62"/>
  <c r="H34" i="62"/>
  <c r="I36" i="62"/>
  <c r="J33" i="62"/>
  <c r="K33" i="62" s="1"/>
  <c r="K34" i="62"/>
  <c r="M26" i="62"/>
  <c r="Q26" i="62" s="1"/>
  <c r="H25" i="62"/>
  <c r="I26" i="62"/>
  <c r="I27" i="62"/>
  <c r="J24" i="62"/>
  <c r="K24" i="62" s="1"/>
  <c r="H26" i="62"/>
  <c r="I24" i="62"/>
  <c r="K25" i="62"/>
  <c r="I15" i="62"/>
  <c r="H16" i="62"/>
  <c r="I17" i="62"/>
  <c r="I18" i="62"/>
  <c r="J15" i="62"/>
  <c r="K15" i="62" s="1"/>
  <c r="H17" i="62"/>
  <c r="K16" i="62"/>
  <c r="K17" i="62"/>
  <c r="I40" i="61" l="1"/>
  <c r="J13" i="63"/>
  <c r="K13" i="63" s="1"/>
  <c r="M10" i="63"/>
  <c r="Q10" i="63" s="1"/>
  <c r="M9" i="63"/>
  <c r="Q9" i="63" s="1"/>
  <c r="M8" i="63"/>
  <c r="Q8" i="63" s="1"/>
  <c r="M7" i="63"/>
  <c r="Q7" i="63" s="1"/>
  <c r="M6" i="63"/>
  <c r="Q6" i="63" s="1"/>
  <c r="M40" i="61"/>
  <c r="Q40" i="61" s="1"/>
  <c r="M41" i="61"/>
  <c r="Q41" i="61" s="1"/>
  <c r="M43" i="61"/>
  <c r="Q43" i="61" s="1"/>
  <c r="M42" i="61"/>
  <c r="Q42" i="61" s="1"/>
  <c r="M44" i="61"/>
  <c r="Q44" i="61" s="1"/>
  <c r="M42" i="62"/>
  <c r="Q42" i="62" s="1"/>
  <c r="M44" i="62"/>
  <c r="Q44" i="62" s="1"/>
  <c r="M43" i="62"/>
  <c r="Q43" i="62" s="1"/>
  <c r="M45" i="62"/>
  <c r="Q45" i="62" s="1"/>
  <c r="M33" i="62"/>
  <c r="Q33" i="62" s="1"/>
  <c r="M34" i="62"/>
  <c r="Q34" i="62" s="1"/>
  <c r="M35" i="62"/>
  <c r="Q35" i="62" s="1"/>
  <c r="M36" i="62"/>
  <c r="Q36" i="62" s="1"/>
  <c r="M25" i="62"/>
  <c r="Q25" i="62" s="1"/>
  <c r="M24" i="62"/>
  <c r="Q24" i="62" s="1"/>
  <c r="M27" i="62"/>
  <c r="Q27" i="62" s="1"/>
  <c r="M15" i="62"/>
  <c r="Q15" i="62" s="1"/>
  <c r="M18" i="62"/>
  <c r="Q18" i="62" s="1"/>
  <c r="M16" i="62"/>
  <c r="Q16" i="62" s="1"/>
  <c r="M17" i="62"/>
  <c r="Q17" i="62" s="1"/>
  <c r="M13" i="63" l="1"/>
  <c r="Q13" i="63" s="1"/>
  <c r="R9" i="62"/>
  <c r="L9" i="62" s="1"/>
  <c r="P9" i="62"/>
  <c r="B9" i="62"/>
  <c r="N9" i="62"/>
  <c r="R8" i="62"/>
  <c r="L8" i="62" s="1"/>
  <c r="P8" i="62"/>
  <c r="N8" i="62"/>
  <c r="G8" i="62"/>
  <c r="F8" i="62"/>
  <c r="E8" i="62"/>
  <c r="H8" i="62" s="1"/>
  <c r="B8" i="62"/>
  <c r="R7" i="62"/>
  <c r="L7" i="62" s="1"/>
  <c r="P7" i="62"/>
  <c r="G7" i="62"/>
  <c r="F7" i="62"/>
  <c r="E7" i="62"/>
  <c r="H7" i="62" s="1"/>
  <c r="B7" i="62"/>
  <c r="R6" i="62"/>
  <c r="L6" i="62" s="1"/>
  <c r="P6" i="62"/>
  <c r="J6" i="62"/>
  <c r="B6" i="62"/>
  <c r="A31" i="61"/>
  <c r="N31" i="61" s="1"/>
  <c r="A20" i="61"/>
  <c r="N20" i="61" s="1"/>
  <c r="A9" i="61"/>
  <c r="G18" i="61"/>
  <c r="A29" i="61"/>
  <c r="A18" i="61"/>
  <c r="R33" i="61"/>
  <c r="L33" i="61" s="1"/>
  <c r="P33" i="61"/>
  <c r="G33" i="61"/>
  <c r="F33" i="61"/>
  <c r="E33" i="61"/>
  <c r="J33" i="61" s="1"/>
  <c r="B33" i="61"/>
  <c r="A33" i="61"/>
  <c r="N33" i="61" s="1"/>
  <c r="R32" i="61"/>
  <c r="L32" i="61" s="1"/>
  <c r="P32" i="61"/>
  <c r="G32" i="61"/>
  <c r="F32" i="61"/>
  <c r="E32" i="61"/>
  <c r="B32" i="61"/>
  <c r="A32" i="61"/>
  <c r="N32" i="61" s="1"/>
  <c r="R31" i="61"/>
  <c r="L31" i="61" s="1"/>
  <c r="P31" i="61"/>
  <c r="G31" i="61"/>
  <c r="F31" i="61"/>
  <c r="E31" i="61"/>
  <c r="H31" i="61" s="1"/>
  <c r="D31" i="61"/>
  <c r="B31" i="61"/>
  <c r="R30" i="61"/>
  <c r="L30" i="61" s="1"/>
  <c r="P30" i="61"/>
  <c r="G30" i="61"/>
  <c r="F30" i="61"/>
  <c r="E30" i="61"/>
  <c r="H30" i="61" s="1"/>
  <c r="B30" i="61"/>
  <c r="N30" i="61"/>
  <c r="R29" i="61"/>
  <c r="L29" i="61" s="1"/>
  <c r="P29" i="61"/>
  <c r="G29" i="61"/>
  <c r="F29" i="61"/>
  <c r="E29" i="61"/>
  <c r="B29" i="61"/>
  <c r="R28" i="61"/>
  <c r="L28" i="61" s="1"/>
  <c r="P28" i="61"/>
  <c r="H28" i="61"/>
  <c r="B28" i="61"/>
  <c r="A28" i="61"/>
  <c r="N28" i="61" s="1"/>
  <c r="R22" i="61"/>
  <c r="L22" i="61" s="1"/>
  <c r="P22" i="61"/>
  <c r="G22" i="61"/>
  <c r="F22" i="61"/>
  <c r="E22" i="61"/>
  <c r="J22" i="61" s="1"/>
  <c r="B22" i="61"/>
  <c r="A22" i="61"/>
  <c r="N22" i="61" s="1"/>
  <c r="R21" i="61"/>
  <c r="L21" i="61" s="1"/>
  <c r="P21" i="61"/>
  <c r="G21" i="61"/>
  <c r="F21" i="61"/>
  <c r="E21" i="61"/>
  <c r="B21" i="61"/>
  <c r="A21" i="61"/>
  <c r="N21" i="61" s="1"/>
  <c r="R20" i="61"/>
  <c r="L20" i="61" s="1"/>
  <c r="P20" i="61"/>
  <c r="G20" i="61"/>
  <c r="F20" i="61"/>
  <c r="E20" i="61"/>
  <c r="H20" i="61" s="1"/>
  <c r="D20" i="61"/>
  <c r="B20" i="61"/>
  <c r="R19" i="61"/>
  <c r="L19" i="61" s="1"/>
  <c r="P19" i="61"/>
  <c r="G19" i="61"/>
  <c r="F19" i="61"/>
  <c r="E19" i="61"/>
  <c r="H19" i="61" s="1"/>
  <c r="B19" i="61"/>
  <c r="N19" i="61"/>
  <c r="R18" i="61"/>
  <c r="L18" i="61" s="1"/>
  <c r="P18" i="61"/>
  <c r="F18" i="61"/>
  <c r="E18" i="61"/>
  <c r="B18" i="61"/>
  <c r="R17" i="61"/>
  <c r="L17" i="61" s="1"/>
  <c r="P17" i="61"/>
  <c r="H17" i="61"/>
  <c r="B17" i="61"/>
  <c r="A17" i="61"/>
  <c r="N17" i="61" s="1"/>
  <c r="R11" i="61"/>
  <c r="L11" i="61" s="1"/>
  <c r="P11" i="61"/>
  <c r="G11" i="61"/>
  <c r="F11" i="61"/>
  <c r="E11" i="61"/>
  <c r="H11" i="61" s="1"/>
  <c r="B11" i="61"/>
  <c r="A11" i="61"/>
  <c r="N11" i="61" s="1"/>
  <c r="R10" i="61"/>
  <c r="L10" i="61" s="1"/>
  <c r="P10" i="61"/>
  <c r="G10" i="61"/>
  <c r="F10" i="61"/>
  <c r="E10" i="61"/>
  <c r="J10" i="61" s="1"/>
  <c r="B10" i="61"/>
  <c r="A10" i="61"/>
  <c r="N10" i="61" s="1"/>
  <c r="R9" i="61"/>
  <c r="L9" i="61" s="1"/>
  <c r="P9" i="61"/>
  <c r="G9" i="61"/>
  <c r="F9" i="61"/>
  <c r="E9" i="61"/>
  <c r="I9" i="61" s="1"/>
  <c r="D9" i="61"/>
  <c r="B9" i="61"/>
  <c r="N9" i="61"/>
  <c r="R8" i="61"/>
  <c r="L8" i="61" s="1"/>
  <c r="P8" i="61"/>
  <c r="G8" i="61"/>
  <c r="F8" i="61"/>
  <c r="E8" i="61"/>
  <c r="B8" i="61"/>
  <c r="N8" i="61"/>
  <c r="R7" i="61"/>
  <c r="L7" i="61" s="1"/>
  <c r="P7" i="61"/>
  <c r="G7" i="61"/>
  <c r="F7" i="61"/>
  <c r="E7" i="61"/>
  <c r="B7" i="61"/>
  <c r="A7" i="61"/>
  <c r="N7" i="61" s="1"/>
  <c r="R6" i="61"/>
  <c r="L6" i="61" s="1"/>
  <c r="P6" i="61"/>
  <c r="H6" i="61"/>
  <c r="B6" i="61"/>
  <c r="A6" i="61"/>
  <c r="D14" i="60"/>
  <c r="D19" i="60"/>
  <c r="D18" i="60"/>
  <c r="D17" i="60"/>
  <c r="D16" i="60"/>
  <c r="D15" i="60"/>
  <c r="D13" i="60"/>
  <c r="P88" i="46"/>
  <c r="P87" i="46"/>
  <c r="P86" i="46"/>
  <c r="P85" i="46"/>
  <c r="P84" i="46"/>
  <c r="P83" i="46"/>
  <c r="P77" i="46"/>
  <c r="P76" i="46"/>
  <c r="P75" i="46"/>
  <c r="P74" i="46"/>
  <c r="P73" i="46"/>
  <c r="P72" i="46"/>
  <c r="P66" i="46"/>
  <c r="P65" i="46"/>
  <c r="P64" i="46"/>
  <c r="P63" i="46"/>
  <c r="P62" i="46"/>
  <c r="P61" i="46"/>
  <c r="P55" i="46"/>
  <c r="P54" i="46"/>
  <c r="P53" i="46"/>
  <c r="P52" i="46"/>
  <c r="P51" i="46"/>
  <c r="P50" i="46"/>
  <c r="P44" i="46"/>
  <c r="P43" i="46"/>
  <c r="P42" i="46"/>
  <c r="P41" i="46"/>
  <c r="P40" i="46"/>
  <c r="P39" i="46"/>
  <c r="P33" i="46"/>
  <c r="P32" i="46"/>
  <c r="P31" i="46"/>
  <c r="P30" i="46"/>
  <c r="P29" i="46"/>
  <c r="P28" i="46"/>
  <c r="P22" i="46"/>
  <c r="P21" i="46"/>
  <c r="P20" i="46"/>
  <c r="P19" i="46"/>
  <c r="P18" i="46"/>
  <c r="P17" i="46"/>
  <c r="P11" i="46"/>
  <c r="P10" i="46"/>
  <c r="P9" i="46"/>
  <c r="P8" i="46"/>
  <c r="P7" i="46"/>
  <c r="P6" i="46"/>
  <c r="N2" i="59"/>
  <c r="P16" i="56"/>
  <c r="P2" i="56" s="1"/>
  <c r="N16" i="56"/>
  <c r="N2" i="56" s="1"/>
  <c r="D87" i="46"/>
  <c r="D76" i="46"/>
  <c r="D65" i="46"/>
  <c r="D54" i="46"/>
  <c r="D43" i="46"/>
  <c r="D32" i="46"/>
  <c r="D21" i="46"/>
  <c r="R88" i="46"/>
  <c r="L88" i="46" s="1"/>
  <c r="G88" i="46"/>
  <c r="F88" i="46"/>
  <c r="E88" i="46"/>
  <c r="J88" i="46" s="1"/>
  <c r="B88" i="46"/>
  <c r="A88" i="46"/>
  <c r="N88" i="46" s="1"/>
  <c r="R87" i="46"/>
  <c r="L87" i="46" s="1"/>
  <c r="G87" i="46"/>
  <c r="F87" i="46"/>
  <c r="E87" i="46"/>
  <c r="B87" i="46"/>
  <c r="A87" i="46"/>
  <c r="N87" i="46" s="1"/>
  <c r="R86" i="46"/>
  <c r="L86" i="46" s="1"/>
  <c r="G86" i="46"/>
  <c r="F86" i="46"/>
  <c r="E86" i="46"/>
  <c r="H86" i="46" s="1"/>
  <c r="D86" i="46"/>
  <c r="B86" i="46"/>
  <c r="A86" i="46"/>
  <c r="N86" i="46" s="1"/>
  <c r="R85" i="46"/>
  <c r="L85" i="46" s="1"/>
  <c r="G85" i="46"/>
  <c r="F85" i="46"/>
  <c r="E85" i="46"/>
  <c r="H85" i="46" s="1"/>
  <c r="B85" i="46"/>
  <c r="N85" i="46"/>
  <c r="R84" i="46"/>
  <c r="L84" i="46" s="1"/>
  <c r="G84" i="46"/>
  <c r="F84" i="46"/>
  <c r="E84" i="46"/>
  <c r="D84" i="46"/>
  <c r="B84" i="46"/>
  <c r="A84" i="46"/>
  <c r="R83" i="46"/>
  <c r="L83" i="46" s="1"/>
  <c r="H83" i="46"/>
  <c r="B83" i="46"/>
  <c r="A83" i="46"/>
  <c r="R77" i="46"/>
  <c r="L77" i="46" s="1"/>
  <c r="G77" i="46"/>
  <c r="F77" i="46"/>
  <c r="E77" i="46"/>
  <c r="J77" i="46" s="1"/>
  <c r="B77" i="46"/>
  <c r="A77" i="46"/>
  <c r="N77" i="46" s="1"/>
  <c r="R76" i="46"/>
  <c r="L76" i="46" s="1"/>
  <c r="G76" i="46"/>
  <c r="F76" i="46"/>
  <c r="E76" i="46"/>
  <c r="B76" i="46"/>
  <c r="A76" i="46"/>
  <c r="N76" i="46" s="1"/>
  <c r="R75" i="46"/>
  <c r="L75" i="46" s="1"/>
  <c r="G75" i="46"/>
  <c r="F75" i="46"/>
  <c r="E75" i="46"/>
  <c r="D75" i="46"/>
  <c r="B75" i="46"/>
  <c r="A75" i="46"/>
  <c r="N75" i="46" s="1"/>
  <c r="R74" i="46"/>
  <c r="L74" i="46" s="1"/>
  <c r="G74" i="46"/>
  <c r="F74" i="46"/>
  <c r="E74" i="46"/>
  <c r="H74" i="46" s="1"/>
  <c r="B74" i="46"/>
  <c r="N74" i="46"/>
  <c r="R73" i="46"/>
  <c r="L73" i="46" s="1"/>
  <c r="G73" i="46"/>
  <c r="F73" i="46"/>
  <c r="E73" i="46"/>
  <c r="D73" i="46"/>
  <c r="B73" i="46"/>
  <c r="A73" i="46"/>
  <c r="R72" i="46"/>
  <c r="L72" i="46" s="1"/>
  <c r="H72" i="46"/>
  <c r="B72" i="46"/>
  <c r="A72" i="46"/>
  <c r="R66" i="46"/>
  <c r="L66" i="46" s="1"/>
  <c r="G66" i="46"/>
  <c r="F66" i="46"/>
  <c r="E66" i="46"/>
  <c r="J66" i="46" s="1"/>
  <c r="B66" i="46"/>
  <c r="A66" i="46"/>
  <c r="N66" i="46" s="1"/>
  <c r="R65" i="46"/>
  <c r="L65" i="46" s="1"/>
  <c r="G65" i="46"/>
  <c r="F65" i="46"/>
  <c r="E65" i="46"/>
  <c r="B65" i="46"/>
  <c r="A65" i="46"/>
  <c r="N65" i="46" s="1"/>
  <c r="R64" i="46"/>
  <c r="L64" i="46" s="1"/>
  <c r="G64" i="46"/>
  <c r="F64" i="46"/>
  <c r="E64" i="46"/>
  <c r="D64" i="46"/>
  <c r="B64" i="46"/>
  <c r="A64" i="46"/>
  <c r="N64" i="46" s="1"/>
  <c r="R63" i="46"/>
  <c r="L63" i="46" s="1"/>
  <c r="G63" i="46"/>
  <c r="F63" i="46"/>
  <c r="E63" i="46"/>
  <c r="H63" i="46" s="1"/>
  <c r="B63" i="46"/>
  <c r="N63" i="46"/>
  <c r="R62" i="46"/>
  <c r="L62" i="46" s="1"/>
  <c r="G62" i="46"/>
  <c r="F62" i="46"/>
  <c r="E62" i="46"/>
  <c r="D62" i="46"/>
  <c r="B62" i="46"/>
  <c r="A62" i="46"/>
  <c r="R61" i="46"/>
  <c r="L61" i="46" s="1"/>
  <c r="H61" i="46"/>
  <c r="B61" i="46"/>
  <c r="A61" i="46"/>
  <c r="R55" i="46"/>
  <c r="L55" i="46" s="1"/>
  <c r="G55" i="46"/>
  <c r="F55" i="46"/>
  <c r="E55" i="46"/>
  <c r="J55" i="46" s="1"/>
  <c r="B55" i="46"/>
  <c r="A55" i="46"/>
  <c r="N55" i="46" s="1"/>
  <c r="R54" i="46"/>
  <c r="L54" i="46" s="1"/>
  <c r="G54" i="46"/>
  <c r="F54" i="46"/>
  <c r="E54" i="46"/>
  <c r="B54" i="46"/>
  <c r="A54" i="46"/>
  <c r="N54" i="46" s="1"/>
  <c r="R53" i="46"/>
  <c r="L53" i="46" s="1"/>
  <c r="G53" i="46"/>
  <c r="F53" i="46"/>
  <c r="E53" i="46"/>
  <c r="H53" i="46" s="1"/>
  <c r="D53" i="46"/>
  <c r="B53" i="46"/>
  <c r="A53" i="46"/>
  <c r="N53" i="46" s="1"/>
  <c r="R52" i="46"/>
  <c r="L52" i="46" s="1"/>
  <c r="G52" i="46"/>
  <c r="F52" i="46"/>
  <c r="E52" i="46"/>
  <c r="H52" i="46" s="1"/>
  <c r="B52" i="46"/>
  <c r="N52" i="46"/>
  <c r="R51" i="46"/>
  <c r="L51" i="46" s="1"/>
  <c r="G51" i="46"/>
  <c r="F51" i="46"/>
  <c r="E51" i="46"/>
  <c r="D51" i="46"/>
  <c r="B51" i="46"/>
  <c r="A51" i="46"/>
  <c r="R50" i="46"/>
  <c r="L50" i="46" s="1"/>
  <c r="H50" i="46"/>
  <c r="B50" i="46"/>
  <c r="A50" i="46"/>
  <c r="R44" i="46"/>
  <c r="L44" i="46" s="1"/>
  <c r="G44" i="46"/>
  <c r="F44" i="46"/>
  <c r="E44" i="46"/>
  <c r="J44" i="46" s="1"/>
  <c r="B44" i="46"/>
  <c r="A44" i="46"/>
  <c r="N44" i="46" s="1"/>
  <c r="R43" i="46"/>
  <c r="L43" i="46" s="1"/>
  <c r="G43" i="46"/>
  <c r="F43" i="46"/>
  <c r="E43" i="46"/>
  <c r="B43" i="46"/>
  <c r="A43" i="46"/>
  <c r="N43" i="46" s="1"/>
  <c r="R42" i="46"/>
  <c r="L42" i="46" s="1"/>
  <c r="G42" i="46"/>
  <c r="F42" i="46"/>
  <c r="E42" i="46"/>
  <c r="H42" i="46" s="1"/>
  <c r="D42" i="46"/>
  <c r="B42" i="46"/>
  <c r="A42" i="46"/>
  <c r="N42" i="46" s="1"/>
  <c r="R41" i="46"/>
  <c r="L41" i="46" s="1"/>
  <c r="G41" i="46"/>
  <c r="F41" i="46"/>
  <c r="E41" i="46"/>
  <c r="H41" i="46" s="1"/>
  <c r="B41" i="46"/>
  <c r="N41" i="46"/>
  <c r="R40" i="46"/>
  <c r="L40" i="46" s="1"/>
  <c r="G40" i="46"/>
  <c r="F40" i="46"/>
  <c r="E40" i="46"/>
  <c r="D40" i="46"/>
  <c r="B40" i="46"/>
  <c r="A40" i="46"/>
  <c r="R39" i="46"/>
  <c r="L39" i="46" s="1"/>
  <c r="H39" i="46"/>
  <c r="B39" i="46"/>
  <c r="A39" i="46"/>
  <c r="R33" i="46"/>
  <c r="L33" i="46" s="1"/>
  <c r="G33" i="46"/>
  <c r="F33" i="46"/>
  <c r="E33" i="46"/>
  <c r="J33" i="46" s="1"/>
  <c r="B33" i="46"/>
  <c r="A33" i="46"/>
  <c r="N33" i="46" s="1"/>
  <c r="R32" i="46"/>
  <c r="L32" i="46" s="1"/>
  <c r="G32" i="46"/>
  <c r="F32" i="46"/>
  <c r="E32" i="46"/>
  <c r="B32" i="46"/>
  <c r="A32" i="46"/>
  <c r="N32" i="46" s="1"/>
  <c r="R31" i="46"/>
  <c r="L31" i="46" s="1"/>
  <c r="G31" i="46"/>
  <c r="F31" i="46"/>
  <c r="E31" i="46"/>
  <c r="D31" i="46"/>
  <c r="B31" i="46"/>
  <c r="A31" i="46"/>
  <c r="N31" i="46" s="1"/>
  <c r="R30" i="46"/>
  <c r="L30" i="46" s="1"/>
  <c r="G30" i="46"/>
  <c r="F30" i="46"/>
  <c r="E30" i="46"/>
  <c r="H30" i="46" s="1"/>
  <c r="B30" i="46"/>
  <c r="N30" i="46"/>
  <c r="R29" i="46"/>
  <c r="L29" i="46" s="1"/>
  <c r="G29" i="46"/>
  <c r="F29" i="46"/>
  <c r="E29" i="46"/>
  <c r="D29" i="46"/>
  <c r="B29" i="46"/>
  <c r="A29" i="46"/>
  <c r="R28" i="46"/>
  <c r="L28" i="46" s="1"/>
  <c r="H28" i="46"/>
  <c r="B28" i="46"/>
  <c r="A28" i="46"/>
  <c r="R22" i="46"/>
  <c r="L22" i="46" s="1"/>
  <c r="G22" i="46"/>
  <c r="F22" i="46"/>
  <c r="E22" i="46"/>
  <c r="J22" i="46" s="1"/>
  <c r="B22" i="46"/>
  <c r="A22" i="46"/>
  <c r="N22" i="46" s="1"/>
  <c r="R21" i="46"/>
  <c r="L21" i="46" s="1"/>
  <c r="G21" i="46"/>
  <c r="F21" i="46"/>
  <c r="E21" i="46"/>
  <c r="B21" i="46"/>
  <c r="A21" i="46"/>
  <c r="N21" i="46" s="1"/>
  <c r="R20" i="46"/>
  <c r="L20" i="46" s="1"/>
  <c r="G20" i="46"/>
  <c r="F20" i="46"/>
  <c r="E20" i="46"/>
  <c r="D20" i="46"/>
  <c r="B20" i="46"/>
  <c r="A20" i="46"/>
  <c r="N20" i="46" s="1"/>
  <c r="R19" i="46"/>
  <c r="L19" i="46" s="1"/>
  <c r="G19" i="46"/>
  <c r="F19" i="46"/>
  <c r="E19" i="46"/>
  <c r="H19" i="46" s="1"/>
  <c r="B19" i="46"/>
  <c r="N19" i="46"/>
  <c r="R18" i="46"/>
  <c r="L18" i="46" s="1"/>
  <c r="G18" i="46"/>
  <c r="F18" i="46"/>
  <c r="E18" i="46"/>
  <c r="D18" i="46"/>
  <c r="B18" i="46"/>
  <c r="A18" i="46"/>
  <c r="R17" i="46"/>
  <c r="L17" i="46" s="1"/>
  <c r="H17" i="46"/>
  <c r="B17" i="46"/>
  <c r="A17" i="46"/>
  <c r="R16" i="56"/>
  <c r="L16" i="56" s="1"/>
  <c r="G16" i="56"/>
  <c r="F16" i="56"/>
  <c r="E16" i="56"/>
  <c r="I16" i="56" s="1"/>
  <c r="D16" i="56"/>
  <c r="B16" i="56"/>
  <c r="G11" i="47"/>
  <c r="R11" i="46"/>
  <c r="L11" i="46" s="1"/>
  <c r="R10" i="46"/>
  <c r="L10" i="46" s="1"/>
  <c r="R9" i="46"/>
  <c r="L9" i="46" s="1"/>
  <c r="R8" i="46"/>
  <c r="L8" i="46" s="1"/>
  <c r="R7" i="46"/>
  <c r="L7" i="46" s="1"/>
  <c r="R6" i="46"/>
  <c r="L6" i="46" s="1"/>
  <c r="B30" i="49"/>
  <c r="B20" i="49"/>
  <c r="I17" i="46" l="1"/>
  <c r="I28" i="46"/>
  <c r="I50" i="46"/>
  <c r="I61" i="46"/>
  <c r="I21" i="61"/>
  <c r="I8" i="61"/>
  <c r="I20" i="46"/>
  <c r="I31" i="46"/>
  <c r="I83" i="46"/>
  <c r="I32" i="61"/>
  <c r="I64" i="46"/>
  <c r="I75" i="46"/>
  <c r="J12" i="63"/>
  <c r="K12" i="63" s="1"/>
  <c r="M12" i="63" s="1"/>
  <c r="Q12" i="63" s="1"/>
  <c r="J39" i="61"/>
  <c r="K39" i="61" s="1"/>
  <c r="M39" i="61" s="1"/>
  <c r="Q39" i="61" s="1"/>
  <c r="N6" i="62"/>
  <c r="I6" i="62"/>
  <c r="H9" i="62"/>
  <c r="I9" i="62" s="1"/>
  <c r="H18" i="61"/>
  <c r="J18" i="61" s="1"/>
  <c r="K18" i="61" s="1"/>
  <c r="K7" i="62"/>
  <c r="N7" i="62"/>
  <c r="I7" i="62"/>
  <c r="K8" i="62"/>
  <c r="K6" i="62"/>
  <c r="I8" i="62"/>
  <c r="J17" i="61"/>
  <c r="K17" i="61" s="1"/>
  <c r="J6" i="61"/>
  <c r="K6" i="61" s="1"/>
  <c r="M6" i="61" s="1"/>
  <c r="J28" i="61"/>
  <c r="K28" i="61" s="1"/>
  <c r="H8" i="61"/>
  <c r="I6" i="61"/>
  <c r="H7" i="61"/>
  <c r="I7" i="61" s="1"/>
  <c r="J11" i="61"/>
  <c r="K11" i="61" s="1"/>
  <c r="M11" i="61" s="1"/>
  <c r="Q11" i="61" s="1"/>
  <c r="H29" i="61"/>
  <c r="I29" i="61" s="1"/>
  <c r="I20" i="61"/>
  <c r="I28" i="61"/>
  <c r="N29" i="61"/>
  <c r="H32" i="61"/>
  <c r="I33" i="61"/>
  <c r="J30" i="61"/>
  <c r="K30" i="61" s="1"/>
  <c r="J31" i="61"/>
  <c r="K31" i="61" s="1"/>
  <c r="H33" i="61"/>
  <c r="I30" i="61"/>
  <c r="I31" i="61"/>
  <c r="J32" i="61"/>
  <c r="K32" i="61" s="1"/>
  <c r="K33" i="61"/>
  <c r="I17" i="61"/>
  <c r="N18" i="61"/>
  <c r="H21" i="61"/>
  <c r="I22" i="61"/>
  <c r="J19" i="61"/>
  <c r="K19" i="61" s="1"/>
  <c r="J20" i="61"/>
  <c r="K20" i="61" s="1"/>
  <c r="H22" i="61"/>
  <c r="I19" i="61"/>
  <c r="J21" i="61"/>
  <c r="K21" i="61" s="1"/>
  <c r="K22" i="61"/>
  <c r="H9" i="61"/>
  <c r="N6" i="61"/>
  <c r="H10" i="61"/>
  <c r="I11" i="61"/>
  <c r="J8" i="61"/>
  <c r="K8" i="61" s="1"/>
  <c r="J9" i="61"/>
  <c r="K9" i="61" s="1"/>
  <c r="K10" i="61"/>
  <c r="I10" i="61"/>
  <c r="H62" i="46"/>
  <c r="J62" i="46" s="1"/>
  <c r="K62" i="46" s="1"/>
  <c r="H84" i="46"/>
  <c r="J84" i="46" s="1"/>
  <c r="K84" i="46" s="1"/>
  <c r="P2" i="59"/>
  <c r="H51" i="46"/>
  <c r="J51" i="46" s="1"/>
  <c r="K51" i="46" s="1"/>
  <c r="H40" i="46"/>
  <c r="J40" i="46" s="1"/>
  <c r="K40" i="46" s="1"/>
  <c r="H20" i="46"/>
  <c r="H18" i="46"/>
  <c r="I18" i="46" s="1"/>
  <c r="H31" i="46"/>
  <c r="H75" i="46"/>
  <c r="J19" i="46"/>
  <c r="K19" i="46" s="1"/>
  <c r="J20" i="46"/>
  <c r="K20" i="46" s="1"/>
  <c r="H29" i="46"/>
  <c r="J29" i="46" s="1"/>
  <c r="K29" i="46" s="1"/>
  <c r="H64" i="46"/>
  <c r="H73" i="46"/>
  <c r="I73" i="46" s="1"/>
  <c r="N83" i="46"/>
  <c r="N84" i="46"/>
  <c r="H87" i="46"/>
  <c r="I87" i="46" s="1"/>
  <c r="I88" i="46"/>
  <c r="J85" i="46"/>
  <c r="K85" i="46" s="1"/>
  <c r="J86" i="46"/>
  <c r="K86" i="46" s="1"/>
  <c r="H88" i="46"/>
  <c r="I85" i="46"/>
  <c r="I86" i="46"/>
  <c r="J87" i="46"/>
  <c r="K87" i="46" s="1"/>
  <c r="K88" i="46"/>
  <c r="N72" i="46"/>
  <c r="N73" i="46"/>
  <c r="H76" i="46"/>
  <c r="I76" i="46" s="1"/>
  <c r="I77" i="46"/>
  <c r="I72" i="46"/>
  <c r="J74" i="46"/>
  <c r="K74" i="46" s="1"/>
  <c r="J75" i="46"/>
  <c r="K75" i="46" s="1"/>
  <c r="H77" i="46"/>
  <c r="I74" i="46"/>
  <c r="J76" i="46"/>
  <c r="K76" i="46" s="1"/>
  <c r="K77" i="46"/>
  <c r="N61" i="46"/>
  <c r="N62" i="46"/>
  <c r="H65" i="46"/>
  <c r="I65" i="46" s="1"/>
  <c r="I66" i="46"/>
  <c r="J63" i="46"/>
  <c r="K63" i="46" s="1"/>
  <c r="J64" i="46"/>
  <c r="K64" i="46" s="1"/>
  <c r="H66" i="46"/>
  <c r="I63" i="46"/>
  <c r="J65" i="46"/>
  <c r="K65" i="46" s="1"/>
  <c r="K66" i="46"/>
  <c r="N50" i="46"/>
  <c r="N51" i="46"/>
  <c r="H54" i="46"/>
  <c r="I54" i="46" s="1"/>
  <c r="I55" i="46"/>
  <c r="J52" i="46"/>
  <c r="K52" i="46" s="1"/>
  <c r="J53" i="46"/>
  <c r="K53" i="46" s="1"/>
  <c r="H55" i="46"/>
  <c r="I52" i="46"/>
  <c r="I53" i="46"/>
  <c r="J54" i="46"/>
  <c r="K54" i="46" s="1"/>
  <c r="K55" i="46"/>
  <c r="N39" i="46"/>
  <c r="N40" i="46"/>
  <c r="H43" i="46"/>
  <c r="I43" i="46" s="1"/>
  <c r="I44" i="46"/>
  <c r="I39" i="46"/>
  <c r="J41" i="46"/>
  <c r="K41" i="46" s="1"/>
  <c r="J42" i="46"/>
  <c r="K42" i="46" s="1"/>
  <c r="H44" i="46"/>
  <c r="I41" i="46"/>
  <c r="I42" i="46"/>
  <c r="K44" i="46"/>
  <c r="N28" i="46"/>
  <c r="N29" i="46"/>
  <c r="H32" i="46"/>
  <c r="I32" i="46" s="1"/>
  <c r="I33" i="46"/>
  <c r="J30" i="46"/>
  <c r="K30" i="46" s="1"/>
  <c r="J31" i="46"/>
  <c r="K31" i="46" s="1"/>
  <c r="H33" i="46"/>
  <c r="I30" i="46"/>
  <c r="J32" i="46"/>
  <c r="K32" i="46" s="1"/>
  <c r="K33" i="46"/>
  <c r="N17" i="46"/>
  <c r="N18" i="46"/>
  <c r="H21" i="46"/>
  <c r="I21" i="46" s="1"/>
  <c r="I22" i="46"/>
  <c r="H22" i="46"/>
  <c r="I19" i="46"/>
  <c r="J21" i="46"/>
  <c r="K21" i="46" s="1"/>
  <c r="K22" i="46"/>
  <c r="H16" i="56"/>
  <c r="J16" i="56"/>
  <c r="B9" i="49"/>
  <c r="C11" i="47"/>
  <c r="A11" i="46"/>
  <c r="N11" i="46" s="1"/>
  <c r="A10" i="46"/>
  <c r="N10" i="46" s="1"/>
  <c r="A9" i="46"/>
  <c r="N9" i="46" s="1"/>
  <c r="N8" i="46"/>
  <c r="A7" i="46"/>
  <c r="N7" i="46" s="1"/>
  <c r="A6" i="46"/>
  <c r="N6" i="46" s="1"/>
  <c r="G11" i="46"/>
  <c r="F11" i="46"/>
  <c r="E11" i="46"/>
  <c r="I11" i="46" s="1"/>
  <c r="B11" i="46"/>
  <c r="G10" i="46"/>
  <c r="F10" i="46"/>
  <c r="E10" i="46"/>
  <c r="B10" i="46"/>
  <c r="G9" i="46"/>
  <c r="F9" i="46"/>
  <c r="E9" i="46"/>
  <c r="D9" i="46"/>
  <c r="B9" i="46"/>
  <c r="G8" i="46"/>
  <c r="F8" i="46"/>
  <c r="E8" i="46"/>
  <c r="B8" i="46"/>
  <c r="G7" i="46"/>
  <c r="F7" i="46"/>
  <c r="E7" i="46"/>
  <c r="D7" i="46"/>
  <c r="B7" i="46"/>
  <c r="B6" i="46"/>
  <c r="P3" i="14"/>
  <c r="N3" i="14"/>
  <c r="L3" i="14"/>
  <c r="G3" i="14"/>
  <c r="F3" i="14"/>
  <c r="E3" i="14"/>
  <c r="I3" i="14" s="1"/>
  <c r="B3" i="14"/>
  <c r="I18" i="61" l="1"/>
  <c r="I8" i="46"/>
  <c r="I9" i="46"/>
  <c r="J9" i="62"/>
  <c r="K9" i="62" s="1"/>
  <c r="M9" i="62" s="1"/>
  <c r="Q9" i="62" s="1"/>
  <c r="J29" i="61"/>
  <c r="K29" i="61" s="1"/>
  <c r="M29" i="61" s="1"/>
  <c r="Q29" i="61" s="1"/>
  <c r="M7" i="62"/>
  <c r="Q7" i="62" s="1"/>
  <c r="M8" i="62"/>
  <c r="Q8" i="62" s="1"/>
  <c r="M6" i="62"/>
  <c r="Q6" i="62" s="1"/>
  <c r="Q6" i="61"/>
  <c r="J7" i="61"/>
  <c r="K7" i="61" s="1"/>
  <c r="M7" i="61" s="1"/>
  <c r="Q7" i="61" s="1"/>
  <c r="M30" i="61"/>
  <c r="Q30" i="61" s="1"/>
  <c r="M31" i="61"/>
  <c r="Q31" i="61" s="1"/>
  <c r="M33" i="61"/>
  <c r="Q33" i="61" s="1"/>
  <c r="M28" i="61"/>
  <c r="Q28" i="61" s="1"/>
  <c r="M32" i="61"/>
  <c r="Q32" i="61" s="1"/>
  <c r="M18" i="61"/>
  <c r="Q18" i="61" s="1"/>
  <c r="M19" i="61"/>
  <c r="Q19" i="61" s="1"/>
  <c r="M21" i="61"/>
  <c r="Q21" i="61" s="1"/>
  <c r="M22" i="61"/>
  <c r="Q22" i="61" s="1"/>
  <c r="M17" i="61"/>
  <c r="Q17" i="61" s="1"/>
  <c r="M20" i="61"/>
  <c r="Q20" i="61" s="1"/>
  <c r="M8" i="61"/>
  <c r="Q8" i="61" s="1"/>
  <c r="M10" i="61"/>
  <c r="Q10" i="61" s="1"/>
  <c r="M9" i="61"/>
  <c r="Q9" i="61" s="1"/>
  <c r="I62" i="46"/>
  <c r="I84" i="46"/>
  <c r="Q2" i="59"/>
  <c r="J73" i="46"/>
  <c r="K73" i="46" s="1"/>
  <c r="M73" i="46" s="1"/>
  <c r="Q73" i="46" s="1"/>
  <c r="K16" i="56"/>
  <c r="M16" i="56" s="1"/>
  <c r="I51" i="46"/>
  <c r="I40" i="46"/>
  <c r="J43" i="46"/>
  <c r="K43" i="46" s="1"/>
  <c r="M43" i="46" s="1"/>
  <c r="Q43" i="46" s="1"/>
  <c r="I29" i="46"/>
  <c r="J18" i="46"/>
  <c r="K18" i="46" s="1"/>
  <c r="M18" i="46" s="1"/>
  <c r="Q18" i="46" s="1"/>
  <c r="M19" i="46"/>
  <c r="Q19" i="46" s="1"/>
  <c r="M84" i="46"/>
  <c r="Q84" i="46" s="1"/>
  <c r="M85" i="46"/>
  <c r="Q85" i="46" s="1"/>
  <c r="M87" i="46"/>
  <c r="Q87" i="46" s="1"/>
  <c r="M86" i="46"/>
  <c r="Q86" i="46" s="1"/>
  <c r="M88" i="46"/>
  <c r="Q88" i="46" s="1"/>
  <c r="M76" i="46"/>
  <c r="Q76" i="46" s="1"/>
  <c r="M74" i="46"/>
  <c r="Q74" i="46" s="1"/>
  <c r="M75" i="46"/>
  <c r="Q75" i="46" s="1"/>
  <c r="M77" i="46"/>
  <c r="Q77" i="46" s="1"/>
  <c r="M62" i="46"/>
  <c r="Q62" i="46" s="1"/>
  <c r="M63" i="46"/>
  <c r="Q63" i="46" s="1"/>
  <c r="M64" i="46"/>
  <c r="Q64" i="46" s="1"/>
  <c r="M66" i="46"/>
  <c r="Q66" i="46" s="1"/>
  <c r="M65" i="46"/>
  <c r="Q65" i="46" s="1"/>
  <c r="M51" i="46"/>
  <c r="Q51" i="46" s="1"/>
  <c r="M52" i="46"/>
  <c r="Q52" i="46" s="1"/>
  <c r="M54" i="46"/>
  <c r="Q54" i="46" s="1"/>
  <c r="M53" i="46"/>
  <c r="Q53" i="46" s="1"/>
  <c r="M55" i="46"/>
  <c r="Q55" i="46" s="1"/>
  <c r="M41" i="46"/>
  <c r="Q41" i="46" s="1"/>
  <c r="M42" i="46"/>
  <c r="Q42" i="46" s="1"/>
  <c r="M40" i="46"/>
  <c r="Q40" i="46" s="1"/>
  <c r="M44" i="46"/>
  <c r="Q44" i="46" s="1"/>
  <c r="M30" i="46"/>
  <c r="Q30" i="46" s="1"/>
  <c r="M33" i="46"/>
  <c r="Q33" i="46" s="1"/>
  <c r="M32" i="46"/>
  <c r="Q32" i="46" s="1"/>
  <c r="M29" i="46"/>
  <c r="Q29" i="46" s="1"/>
  <c r="M31" i="46"/>
  <c r="Q31" i="46" s="1"/>
  <c r="M21" i="46"/>
  <c r="Q21" i="46" s="1"/>
  <c r="M22" i="46"/>
  <c r="Q22" i="46" s="1"/>
  <c r="M20" i="46"/>
  <c r="Q20" i="46" s="1"/>
  <c r="C26" i="47"/>
  <c r="C18" i="47"/>
  <c r="J8" i="46"/>
  <c r="K8" i="46" s="1"/>
  <c r="H9" i="46"/>
  <c r="H7" i="46"/>
  <c r="I7" i="46" s="1"/>
  <c r="H11" i="46"/>
  <c r="H8" i="46"/>
  <c r="J9" i="46"/>
  <c r="K9" i="46" s="1"/>
  <c r="M9" i="46" s="1"/>
  <c r="Q9" i="46" s="1"/>
  <c r="H10" i="46"/>
  <c r="I10" i="46" s="1"/>
  <c r="J11" i="46"/>
  <c r="K11" i="46" s="1"/>
  <c r="H6" i="46"/>
  <c r="I6" i="46" s="1"/>
  <c r="J3" i="14"/>
  <c r="K3" i="14" s="1"/>
  <c r="M3" i="14" s="1"/>
  <c r="Q3" i="14" s="1"/>
  <c r="H3" i="14"/>
  <c r="Q16" i="56" l="1"/>
  <c r="Q2" i="56" s="1"/>
  <c r="K2" i="59"/>
  <c r="M2" i="59" s="1"/>
  <c r="L2" i="59" s="1"/>
  <c r="K2" i="56"/>
  <c r="J10" i="46"/>
  <c r="K10" i="46" s="1"/>
  <c r="M10" i="46" s="1"/>
  <c r="Q10" i="46" s="1"/>
  <c r="M11" i="46"/>
  <c r="Q11" i="46" s="1"/>
  <c r="M8" i="46"/>
  <c r="Q8" i="46" s="1"/>
  <c r="K7" i="46"/>
  <c r="M7" i="46" s="1"/>
  <c r="Q7" i="46" s="1"/>
  <c r="M2" i="56" l="1"/>
  <c r="L2" i="56" s="1"/>
  <c r="O2" i="59"/>
  <c r="O2" i="56"/>
  <c r="J17" i="46"/>
  <c r="K17" i="46" s="1"/>
  <c r="M17" i="46" s="1"/>
  <c r="Q17" i="46" s="1"/>
  <c r="J72" i="46"/>
  <c r="K72" i="46" s="1"/>
  <c r="M72" i="46" s="1"/>
  <c r="Q72" i="46" s="1"/>
  <c r="J28" i="46"/>
  <c r="K28" i="46" s="1"/>
  <c r="M28" i="46" s="1"/>
  <c r="Q28" i="46" s="1"/>
  <c r="J50" i="46"/>
  <c r="K50" i="46" s="1"/>
  <c r="M50" i="46" s="1"/>
  <c r="Q50" i="46" s="1"/>
  <c r="J39" i="46"/>
  <c r="K39" i="46" s="1"/>
  <c r="M39" i="46" s="1"/>
  <c r="Q39" i="46" s="1"/>
  <c r="J61" i="46"/>
  <c r="K61" i="46" s="1"/>
  <c r="M61" i="46" s="1"/>
  <c r="Q61" i="46" s="1"/>
  <c r="J83" i="46"/>
  <c r="K83" i="46" s="1"/>
  <c r="M83" i="46" s="1"/>
  <c r="Q83" i="46" s="1"/>
  <c r="J6" i="46"/>
  <c r="K6" i="46" s="1"/>
  <c r="M6" i="46" s="1"/>
  <c r="Q6" i="46" s="1"/>
</calcChain>
</file>

<file path=xl/sharedStrings.xml><?xml version="1.0" encoding="utf-8"?>
<sst xmlns="http://schemas.openxmlformats.org/spreadsheetml/2006/main" count="1193" uniqueCount="313">
  <si>
    <t>ea</t>
  </si>
  <si>
    <t>Tax Amount</t>
  </si>
  <si>
    <t>Taxable
1 = Y
0 = N</t>
  </si>
  <si>
    <t>Unit</t>
  </si>
  <si>
    <t>Description</t>
  </si>
  <si>
    <t>Markup</t>
  </si>
  <si>
    <t>Total</t>
  </si>
  <si>
    <t>Qty.</t>
  </si>
  <si>
    <t>Markup %</t>
  </si>
  <si>
    <t>Cost</t>
  </si>
  <si>
    <t>Item</t>
  </si>
  <si>
    <t>Burden</t>
  </si>
  <si>
    <t>Lead Brick</t>
  </si>
  <si>
    <t>Lead Sheet</t>
  </si>
  <si>
    <t>Cost Each</t>
  </si>
  <si>
    <t>Cost Total</t>
  </si>
  <si>
    <t>Labor</t>
  </si>
  <si>
    <t>Other</t>
  </si>
  <si>
    <t>Type</t>
  </si>
  <si>
    <t>Material</t>
  </si>
  <si>
    <t>Tax Rate</t>
  </si>
  <si>
    <t>Width
(inches)</t>
  </si>
  <si>
    <t>Weight
Each</t>
  </si>
  <si>
    <t>Weight
Total</t>
  </si>
  <si>
    <t>Weight Total</t>
  </si>
  <si>
    <t>Polyethylene - 5% Borated</t>
  </si>
  <si>
    <t>Length
(inches)</t>
  </si>
  <si>
    <t>Thickness
(inches)</t>
  </si>
  <si>
    <t>Adhesives - PVA Cold Press Glue</t>
  </si>
  <si>
    <t>Pallet - 8'</t>
  </si>
  <si>
    <t>Width</t>
  </si>
  <si>
    <t>Length</t>
  </si>
  <si>
    <t>Thickness</t>
  </si>
  <si>
    <t>Weight Per Unit</t>
  </si>
  <si>
    <t>U/M</t>
  </si>
  <si>
    <t>ADD DESCRIPTION</t>
  </si>
  <si>
    <t>mh</t>
  </si>
  <si>
    <t>gal</t>
  </si>
  <si>
    <t>mi</t>
  </si>
  <si>
    <t>day</t>
  </si>
  <si>
    <t>Steel - Plate</t>
  </si>
  <si>
    <t>Lead - Brick</t>
  </si>
  <si>
    <t>Lead - Sheet</t>
  </si>
  <si>
    <t>Pallet - 9'</t>
  </si>
  <si>
    <t>Pallet - 10'</t>
  </si>
  <si>
    <t>Labor - Apprentice - ST</t>
  </si>
  <si>
    <t>Labor - Carpenter - ST</t>
  </si>
  <si>
    <t>Labor - Certified Welder - ST</t>
  </si>
  <si>
    <t>Labor - Journeyman - ST</t>
  </si>
  <si>
    <t>Labor - Laborer - ST</t>
  </si>
  <si>
    <t>Other - Packaging Materials</t>
  </si>
  <si>
    <t>Travel - Mileage - with Trailer</t>
  </si>
  <si>
    <t>Travel - Subsistance</t>
  </si>
  <si>
    <t>Adhesives - Bond Rite</t>
  </si>
  <si>
    <t>Sheetrock - 5/8" x 10'</t>
  </si>
  <si>
    <t>can</t>
  </si>
  <si>
    <t>Travel - Mileage - without Trailer</t>
  </si>
  <si>
    <t>Travel - Per Diem</t>
  </si>
  <si>
    <t>Lead - Pipe</t>
  </si>
  <si>
    <t>Lead - Bar</t>
  </si>
  <si>
    <t>Subcontracting</t>
  </si>
  <si>
    <t>Travel Expense - Union 421</t>
  </si>
  <si>
    <t>Gases - Acetylene</t>
  </si>
  <si>
    <t>Gases - Liquid Oxygen</t>
  </si>
  <si>
    <t>Gases - Natural Gas</t>
  </si>
  <si>
    <t>Rail/Stile - Maple</t>
  </si>
  <si>
    <t>Bolts - Nuts &amp; Bolts</t>
  </si>
  <si>
    <t>Consumables</t>
  </si>
  <si>
    <t>Drawings and Printing</t>
  </si>
  <si>
    <t>Equipment - Rental</t>
  </si>
  <si>
    <t>Fasteners - Corrugated</t>
  </si>
  <si>
    <t>Frame - HM Door Frame</t>
  </si>
  <si>
    <t>Frame - Linac</t>
  </si>
  <si>
    <t>Freight</t>
  </si>
  <si>
    <t>Glass - Lead Glass</t>
  </si>
  <si>
    <t>Hinges - Butt Hinge</t>
  </si>
  <si>
    <t>Hinges - Continuous Hinge</t>
  </si>
  <si>
    <t>Hinges - Pivot Hinge</t>
  </si>
  <si>
    <t>Hinges - W100</t>
  </si>
  <si>
    <t>Hinges - W125</t>
  </si>
  <si>
    <t>Hinges - W150</t>
  </si>
  <si>
    <t>Hinges - W200</t>
  </si>
  <si>
    <t>Hinges - W250</t>
  </si>
  <si>
    <t>Hinges - W300</t>
  </si>
  <si>
    <t>Hinges - W875</t>
  </si>
  <si>
    <t>Lumber - Boards</t>
  </si>
  <si>
    <t>Operator - Accessories</t>
  </si>
  <si>
    <t>Operator - NB 1000</t>
  </si>
  <si>
    <t>Operator - NB 2000</t>
  </si>
  <si>
    <t>Operator - NB 4000</t>
  </si>
  <si>
    <t>Operator - NB 4120-DC</t>
  </si>
  <si>
    <t>Operator - NB 500</t>
  </si>
  <si>
    <t>Paint - Primer</t>
  </si>
  <si>
    <t>Paint - Products</t>
  </si>
  <si>
    <t>Small Tools</t>
  </si>
  <si>
    <t>Supplies - Welding</t>
  </si>
  <si>
    <t>Contingency</t>
  </si>
  <si>
    <t>Door Hardware - Edwards Interlock</t>
  </si>
  <si>
    <t>Door Hardware - Rockwood Door Pull</t>
  </si>
  <si>
    <t>Door Hardware - Rockwood Door Stop</t>
  </si>
  <si>
    <t>Gases - 75/25</t>
  </si>
  <si>
    <t>Gases - Breathing Air</t>
  </si>
  <si>
    <t>Gases - Hydrogen</t>
  </si>
  <si>
    <t>Gases - Oxygen</t>
  </si>
  <si>
    <t>Gases - Pro-Fuel</t>
  </si>
  <si>
    <t>Veneer</t>
  </si>
  <si>
    <t>Adhesives - Other</t>
  </si>
  <si>
    <t>Door Hardware - Battery Backup</t>
  </si>
  <si>
    <t>Door Hardware - DAU</t>
  </si>
  <si>
    <t>Door Hardware - Superscan II</t>
  </si>
  <si>
    <t>Door Hardware - Switch Plates</t>
  </si>
  <si>
    <t>Door Hardware - Other</t>
  </si>
  <si>
    <t>Door - Hollow Metal</t>
  </si>
  <si>
    <t>Frame - HM Glass Frame</t>
  </si>
  <si>
    <t>Travel - Airline Tickets</t>
  </si>
  <si>
    <t>Travel - Car Rental</t>
  </si>
  <si>
    <t>Travel - Hotel Room</t>
  </si>
  <si>
    <t>Travel - Misc. Travel Exp</t>
  </si>
  <si>
    <t>Bond - 3.5%</t>
  </si>
  <si>
    <t>Hinges - W500</t>
  </si>
  <si>
    <t>Pallets - Other</t>
  </si>
  <si>
    <t>Plywood</t>
  </si>
  <si>
    <t>Polyethylene - HD</t>
  </si>
  <si>
    <t>Travel - Tools - Union 421</t>
  </si>
  <si>
    <t>Wafer Board</t>
  </si>
  <si>
    <t>Steel - Beam</t>
  </si>
  <si>
    <t>Door Hardware - Rails</t>
  </si>
  <si>
    <t>Door Hardware - Slide Units</t>
  </si>
  <si>
    <t>Steel - Tubing</t>
  </si>
  <si>
    <t>Steel - Angle</t>
  </si>
  <si>
    <t>Steel - Other</t>
  </si>
  <si>
    <t>Wire</t>
  </si>
  <si>
    <t>Steel - Flatbar</t>
  </si>
  <si>
    <t>DO NOT ADD ANYTHING BELOW THIS LINE!!!  ADDITION OF ROWS, USING THE BUTTONS BELOW, WILL BE ABOVE THIS LINE.</t>
  </si>
  <si>
    <t>bdft</t>
  </si>
  <si>
    <t>% with
Burden</t>
  </si>
  <si>
    <t>Sale Total</t>
  </si>
  <si>
    <t>Steel</t>
  </si>
  <si>
    <t>Poly 5%</t>
  </si>
  <si>
    <t>Poly HD</t>
  </si>
  <si>
    <t>Swing Door - Vault</t>
  </si>
  <si>
    <t>Bond Rite Adhesive</t>
  </si>
  <si>
    <t>Cold Press Glue</t>
  </si>
  <si>
    <t>Brookfield Battery Backup Add-on</t>
  </si>
  <si>
    <t>Brookfield DAU/HMI</t>
  </si>
  <si>
    <t>Weight
Per Unit</t>
  </si>
  <si>
    <t>Cost
Per Unit</t>
  </si>
  <si>
    <t>Edwards 503A Interlock Switch</t>
  </si>
  <si>
    <t>Rockwood Cast Door Pull #131 US26D Finish</t>
  </si>
  <si>
    <t>Rockwood Door Stop #483 US26D Finish</t>
  </si>
  <si>
    <t>BEA Superscan II</t>
  </si>
  <si>
    <t>4' x 8' x 5/8" GWB</t>
  </si>
  <si>
    <t>Labor Fabricate</t>
  </si>
  <si>
    <t>50" x 99" Pallet</t>
  </si>
  <si>
    <t>Packaging Materials</t>
  </si>
  <si>
    <t>Drywall - 8' x 5/8 GWB with 7' x 1/16 Lead</t>
  </si>
  <si>
    <t>Alloy</t>
  </si>
  <si>
    <t>Weight Calculations</t>
  </si>
  <si>
    <t>*** Caution:  Verify Alloy (density) is accurate per the Density Calculation!</t>
  </si>
  <si>
    <t>Sheet lead</t>
  </si>
  <si>
    <t>Density Calculation</t>
  </si>
  <si>
    <t>Width (w)</t>
  </si>
  <si>
    <t>inches</t>
  </si>
  <si>
    <t>Lead content</t>
  </si>
  <si>
    <t>%</t>
  </si>
  <si>
    <t>Length (l)</t>
  </si>
  <si>
    <t>Antimony content</t>
  </si>
  <si>
    <t>Thickness(t)</t>
  </si>
  <si>
    <t>Tin content</t>
  </si>
  <si>
    <t>Weight:</t>
  </si>
  <si>
    <t>lbs.</t>
  </si>
  <si>
    <t>Density</t>
  </si>
  <si>
    <t>lbs/in^3</t>
  </si>
  <si>
    <t>Circles</t>
  </si>
  <si>
    <t>Diameter</t>
  </si>
  <si>
    <t>Pipe/Cylinders</t>
  </si>
  <si>
    <t>INSIDE Diam (id)</t>
  </si>
  <si>
    <t>Wall Thick (wt)</t>
  </si>
  <si>
    <t>Angle</t>
  </si>
  <si>
    <t>Weight</t>
  </si>
  <si>
    <t>Carbon Steel</t>
  </si>
  <si>
    <r>
      <t>lb/in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</si>
  <si>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lbs</t>
  </si>
  <si>
    <t>Tubing - Square</t>
  </si>
  <si>
    <t>Wall Thickness</t>
  </si>
  <si>
    <t>Tubing - Rectangle</t>
  </si>
  <si>
    <t>Width - Outside 1</t>
  </si>
  <si>
    <t>Width - Outside 2</t>
  </si>
  <si>
    <t>Markup - Labor</t>
  </si>
  <si>
    <t>Markup - Other</t>
  </si>
  <si>
    <t xml:space="preserve">Insert Row at Selection </t>
  </si>
  <si>
    <t>4' x 8' x 5/8" GWB w/ 49" x 84" x ????" Lead Sheet</t>
  </si>
  <si>
    <t>Drywall - 8' x 1/2 GWB with Lead Sheet</t>
  </si>
  <si>
    <t>Drywall - 9' x 1/2 GWB with Lead Sheet</t>
  </si>
  <si>
    <t>Drywall - 10' x 1/2 GWB with Lead Sheet</t>
  </si>
  <si>
    <t>Drywall - 12' x 1/2 GWB with Lead Sheet</t>
  </si>
  <si>
    <t>4' x 9' x 5/8" GWB w/ 49" x 84" x ????" Lead Sheet</t>
  </si>
  <si>
    <t>4' x 12' x 5/8" GWB w/ 49" x 84" x ????" Lead Sheet</t>
  </si>
  <si>
    <t>4' x 8' x 1/2" GWB w/ 49" x 84" x ????" Lead Sheet</t>
  </si>
  <si>
    <t>4' x 9' x 1/2" GWB w/ 49" x 84" x ????" Lead Sheet</t>
  </si>
  <si>
    <t>4' x 10' x 1/2" GWB w/ 49" x 84" x ????" Lead Sheet</t>
  </si>
  <si>
    <t>4' x 12' x 1/2" GWB w/ 49" x 84" x ????" Lead Sheet</t>
  </si>
  <si>
    <t>Sheetrock - 1/2" x 8'</t>
  </si>
  <si>
    <t>Sheetrock - 1/2" x 9'</t>
  </si>
  <si>
    <t>Sheetrock - 1/2" x 10'</t>
  </si>
  <si>
    <t>Sheetrock - 1/2" x 12'</t>
  </si>
  <si>
    <t>4' x 12' x 5/8" GWB</t>
  </si>
  <si>
    <t>4' x 9' x 5/8" GWB</t>
  </si>
  <si>
    <t>4' x 10' x 5/8" GWB</t>
  </si>
  <si>
    <t>Sheetrock - 5/8" x 12'</t>
  </si>
  <si>
    <t>Sheetrock - 5/8" x 8'</t>
  </si>
  <si>
    <t>Sheetrock - 5/8" x 9'</t>
  </si>
  <si>
    <t>4' x 12' x 1/2" GWB</t>
  </si>
  <si>
    <t>4' x 10' x 1/2" GWB</t>
  </si>
  <si>
    <t>4' x 8' x 1/2" GWB</t>
  </si>
  <si>
    <t>4' x 9' x 1/2" GWB</t>
  </si>
  <si>
    <t>Gases - Other</t>
  </si>
  <si>
    <t>HD Block</t>
  </si>
  <si>
    <t>HD Block - Grout</t>
  </si>
  <si>
    <t>Materials - Other</t>
  </si>
  <si>
    <t>Form Updated</t>
  </si>
  <si>
    <t>Hours</t>
  </si>
  <si>
    <t>Door Fabrication - Weld On Skin</t>
  </si>
  <si>
    <t>Door Fabrication - Bolt On Skin</t>
  </si>
  <si>
    <t>Install Door - Weld On Skin</t>
  </si>
  <si>
    <t>Personnel</t>
  </si>
  <si>
    <t>Install Door - Bolt On Skin - Hinge W-125 or less</t>
  </si>
  <si>
    <t>Install Door - Bolt On Skin - Hinge W-150 or above</t>
  </si>
  <si>
    <t>Frame Fabrication - Standard Welded Frame</t>
  </si>
  <si>
    <t>Frame Fabrication - Bolt On Hinges/Modified Frame</t>
  </si>
  <si>
    <t>Swing Door - Single Leaf</t>
  </si>
  <si>
    <t>Sliding Door - Single Leaf</t>
  </si>
  <si>
    <t>Bi-Part Sliding Door - Double Leaf</t>
  </si>
  <si>
    <t>Drywall - 8' x 5/8 GWB with Lead Sheet</t>
  </si>
  <si>
    <t>Drywall - 9' x 5/8 GWB with Lead Sheet</t>
  </si>
  <si>
    <t>Drywall - 10' x 5/8 GWB with Lead Sheet</t>
  </si>
  <si>
    <t>Drywall - 12' x 5/8 GWB with Lead Sheet</t>
  </si>
  <si>
    <t>4' x 8' x 1/2" Fire Rated Plywood</t>
  </si>
  <si>
    <t>4' x 8' x 3/4" Fire Rated Plywood</t>
  </si>
  <si>
    <t>Plywood - 1/2" Fire Rated</t>
  </si>
  <si>
    <t>Plywood - 3/4" Fire Rated</t>
  </si>
  <si>
    <t>4" x 12" x 3/4" Lead Brick</t>
  </si>
  <si>
    <t>Labor Fabricate - Brick</t>
  </si>
  <si>
    <t>Lead - Ingot</t>
  </si>
  <si>
    <t>Lead Ingot for Brick</t>
  </si>
  <si>
    <t>4" x 12" x 1" Lead Brick</t>
  </si>
  <si>
    <t>4" x 12" x 1-1/2" Lead Brick</t>
  </si>
  <si>
    <t>4" x 12" x 2" Lead Brick</t>
  </si>
  <si>
    <t>4" x 12" x 2-1/2" Lead Brick</t>
  </si>
  <si>
    <t>Pro Fuel</t>
  </si>
  <si>
    <t>Natural Gas</t>
  </si>
  <si>
    <t>4' x 8' x 1/2" FR Plywood w/ ???? Lead Sheet</t>
  </si>
  <si>
    <t>16" x 84" x 3/4" FR Plywood w/ ???? Lead Sheet</t>
  </si>
  <si>
    <t>Lead Brick - 3/4 x 4 x 12</t>
  </si>
  <si>
    <t>Lead Brick - 1 x 4 x 12</t>
  </si>
  <si>
    <t>Lead Brick - 1-1/2 x 4 x 12</t>
  </si>
  <si>
    <t>Lead Brick - 2 x 4 x 12</t>
  </si>
  <si>
    <t>Lead Brick - 2-1/2 x 4 x 12</t>
  </si>
  <si>
    <t>Plywood - 4' x 8' x 1/2 FR Plywood w/ Lead Sheet</t>
  </si>
  <si>
    <t>Plywood - 16 x 24 x 3/4 FR Plywood w/ Lead Sheet</t>
  </si>
  <si>
    <t>Plywood - 16 x 84 x 3/4 FR Plywood w/ Lead Sheet</t>
  </si>
  <si>
    <t>16" x 96" x 3/4" FR Plywood w/ ???? Lead Sheet</t>
  </si>
  <si>
    <t>Plywood - 16 x 96 x 3/4 FR Plywood w/ Lead Sheet</t>
  </si>
  <si>
    <t>Solid Core Wood Door</t>
  </si>
  <si>
    <t>3/4" Particle Board</t>
  </si>
  <si>
    <t>Particle Board - 3/4"</t>
  </si>
  <si>
    <t>Particle Board - 5/8"</t>
  </si>
  <si>
    <t>5/8" Particle Board</t>
  </si>
  <si>
    <t>Solid Core Wood Door with ???? Lead Sheet</t>
  </si>
  <si>
    <t>LRX55R3000HS2/F</t>
  </si>
  <si>
    <t>MXDG55C1T2HS2</t>
  </si>
  <si>
    <t>BEA Press Wall Switch - 4.5" Square</t>
  </si>
  <si>
    <t>Door Hardware - Tapeswitch</t>
  </si>
  <si>
    <t>set</t>
  </si>
  <si>
    <t>5 each at $405 - TS - 47 90"</t>
  </si>
  <si>
    <t>Door Hardware - Allen Bradley Button</t>
  </si>
  <si>
    <t>6 Allen Bradley Button Assemblys</t>
  </si>
  <si>
    <t xml:space="preserve">Door Hardware - Interlock Swith </t>
  </si>
  <si>
    <t>McMaster Carr Limit Switch</t>
  </si>
  <si>
    <t>Door Hardware - IXIO</t>
  </si>
  <si>
    <t>IXIO Sensor</t>
  </si>
  <si>
    <t>Operator - NB 2000 HD</t>
  </si>
  <si>
    <t>Bi-Part Door 2 men 7 Days Door and Jamb</t>
  </si>
  <si>
    <t>Single Slider 2 men 6 Days Door and Jamb</t>
  </si>
  <si>
    <t>Door Surround 2 Men 2 Days</t>
  </si>
  <si>
    <t>Average Duct 2 Men 3 Days</t>
  </si>
  <si>
    <t>Average Duct 2 Men 2 Days</t>
  </si>
  <si>
    <t>Add Description</t>
  </si>
  <si>
    <t>1/16"</t>
  </si>
  <si>
    <t>4' x 10' x 5/8" GWB w/ 49" x 84" x 1/16" Lead Sheet</t>
  </si>
  <si>
    <t>4' x 10' x 5/8" GWB w/ 49" x 84" x 1/32" Lead Sheet</t>
  </si>
  <si>
    <t>4' x 10' x 5/8" GWB w/ 49" x 84" x 5/128" Lead Sheet</t>
  </si>
  <si>
    <t>4' x 10' x 5/8" GWB w/ 49" x 84" x 3/32" Lead Sheet</t>
  </si>
  <si>
    <t>4' x 10' x 5/8" GWB w/ 49" x 84" x 1/8" Lead Sheet</t>
  </si>
  <si>
    <t>16" x 24" x 3/4" FR Plywood w/ 1/4" Lead Sheet</t>
  </si>
  <si>
    <t>16" x 24" x 3/4" FR Plywood w/ 1/2" Lead Sheet</t>
  </si>
  <si>
    <t>16" x 24" x 3/4" FR Plywood w/ 5/8" Lead Sheet</t>
  </si>
  <si>
    <t>EDM 3/4" Lead Brick</t>
  </si>
  <si>
    <t>EDM 1" Lead Brick</t>
  </si>
  <si>
    <t>EDM 1-1/2" Lead Brick</t>
  </si>
  <si>
    <t>EDM 2" Lead Brick</t>
  </si>
  <si>
    <t>EDM 2-1/2" Lead Brick</t>
  </si>
  <si>
    <t>lbs per unit</t>
  </si>
  <si>
    <t>Bricks per hour</t>
  </si>
  <si>
    <t>units per hour</t>
  </si>
  <si>
    <t>Wood Door - 1/8" lead</t>
  </si>
  <si>
    <t>Wood Door - 1/32" lead</t>
  </si>
  <si>
    <t>Wood Door - 5/128" lead</t>
  </si>
  <si>
    <t>Wood Door - 1/16" lead</t>
  </si>
  <si>
    <t>Wood Door - 3/32" lead</t>
  </si>
  <si>
    <t>Wood Door - 3/16" lead</t>
  </si>
  <si>
    <t>Wood Door - 1/4" lead</t>
  </si>
  <si>
    <t>Wood Door - 1/2" lead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</si>
</sst>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44" formatCode="_(&quot;$&quot;* #,##0.00_);_(&quot;$&quot;* \(#,##0.00\);_(&quot;$&quot;* &quot;-&quot;??_);_(@_)"/>
    <numFmt numFmtId="164" formatCode="0.000"/>
    <numFmt numFmtId="165" formatCode="_(&quot;$&quot;* #,##0.000_);_(&quot;$&quot;* \(#,##0.000\);_(&quot;$&quot;* &quot;-&quot;??_);_(@_)"/>
    <numFmt numFmtId="166" formatCode="#,##0.000"/>
    <numFmt numFmtId="167" formatCode="0.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20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</fills>
  <borders count="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1" applyNumberFormat="0" applyFont="0" applyAlignment="0" applyProtection="0"/>
  </cellStyleXfs>
  <cellXfs count="84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44" fontId="0" fillId="0" borderId="0" xfId="1" applyFont="1"/>
    <xf numFmtId="0" fontId="0" fillId="0" borderId="0" xfId="1" applyNumberFormat="1" applyFont="1"/>
    <xf numFmtId="0" fontId="4" fillId="0" borderId="0" xfId="0" applyFont="1" applyAlignment="1" applyProtection="1">
      <alignment horizontal="center"/>
      <protection locked="0"/>
    </xf>
    <xf numFmtId="2" fontId="4" fillId="0" borderId="0" xfId="1" applyNumberFormat="1" applyFont="1" applyFill="1" applyBorder="1" applyAlignment="1" applyProtection="1">
      <alignment horizontal="center" wrapText="1"/>
      <protection locked="0"/>
    </xf>
    <xf numFmtId="44" fontId="4" fillId="0" borderId="0" xfId="1" applyFont="1" applyFill="1" applyBorder="1" applyAlignment="1" applyProtection="1">
      <alignment horizontal="center" wrapText="1"/>
      <protection locked="0"/>
    </xf>
    <xf numFmtId="0" fontId="4" fillId="0" borderId="0" xfId="0" applyFont="1" applyAlignment="1" applyProtection="1">
      <alignment horizontal="center" wrapText="1"/>
      <protection locked="0"/>
    </xf>
    <xf numFmtId="0" fontId="2" fillId="3" borderId="0" xfId="0" applyFont="1" applyFill="1"/>
    <xf numFmtId="0" fontId="2" fillId="0" borderId="0" xfId="0" applyFont="1"/>
    <xf numFmtId="0" fontId="2" fillId="0" borderId="0" xfId="0" applyFont="1" applyAlignment="1">
      <alignment horizontal="right"/>
    </xf>
    <xf numFmtId="44" fontId="2" fillId="0" borderId="0" xfId="1" applyFont="1" applyFill="1" applyProtection="1"/>
    <xf numFmtId="0" fontId="5" fillId="0" borderId="0" xfId="0" applyFont="1"/>
    <xf numFmtId="0" fontId="5" fillId="0" borderId="0" xfId="0" applyFont="1" applyAlignment="1">
      <alignment horizontal="center"/>
    </xf>
    <xf numFmtId="44" fontId="4" fillId="4" borderId="0" xfId="0" applyNumberFormat="1" applyFont="1" applyFill="1" applyAlignment="1">
      <alignment horizontal="center" wrapText="1"/>
    </xf>
    <xf numFmtId="44" fontId="4" fillId="4" borderId="0" xfId="1" applyFont="1" applyFill="1" applyBorder="1" applyAlignment="1" applyProtection="1">
      <alignment horizontal="center" wrapText="1"/>
    </xf>
    <xf numFmtId="44" fontId="2" fillId="4" borderId="0" xfId="1" applyFont="1" applyFill="1" applyBorder="1" applyProtection="1"/>
    <xf numFmtId="0" fontId="2" fillId="3" borderId="2" xfId="0" applyFont="1" applyFill="1" applyBorder="1"/>
    <xf numFmtId="9" fontId="2" fillId="3" borderId="2" xfId="2" applyFont="1" applyFill="1" applyBorder="1" applyProtection="1"/>
    <xf numFmtId="7" fontId="2" fillId="3" borderId="2" xfId="0" applyNumberFormat="1" applyFont="1" applyFill="1" applyBorder="1"/>
    <xf numFmtId="0" fontId="0" fillId="3" borderId="0" xfId="0" applyFill="1"/>
    <xf numFmtId="0" fontId="4" fillId="2" borderId="1" xfId="3" applyFont="1" applyAlignment="1" applyProtection="1">
      <alignment horizontal="center"/>
      <protection locked="0"/>
    </xf>
    <xf numFmtId="10" fontId="2" fillId="0" borderId="0" xfId="0" applyNumberFormat="1" applyFont="1" applyAlignment="1" applyProtection="1">
      <alignment horizontal="center"/>
      <protection locked="0"/>
    </xf>
    <xf numFmtId="44" fontId="2" fillId="0" borderId="0" xfId="1" applyFont="1" applyFill="1" applyAlignment="1" applyProtection="1">
      <alignment horizontal="center"/>
      <protection locked="0"/>
    </xf>
    <xf numFmtId="44" fontId="2" fillId="0" borderId="0" xfId="0" applyNumberFormat="1" applyFont="1" applyAlignment="1" applyProtection="1">
      <alignment horizontal="center"/>
      <protection locked="0"/>
    </xf>
    <xf numFmtId="9" fontId="2" fillId="0" borderId="0" xfId="2" applyFont="1" applyFill="1" applyProtection="1"/>
    <xf numFmtId="164" fontId="4" fillId="0" borderId="0" xfId="1" applyNumberFormat="1" applyFont="1" applyFill="1" applyBorder="1" applyAlignment="1" applyProtection="1">
      <alignment horizontal="center" wrapText="1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65" fontId="0" fillId="0" borderId="0" xfId="1" applyNumberFormat="1" applyFont="1"/>
    <xf numFmtId="165" fontId="6" fillId="0" borderId="0" xfId="1" applyNumberFormat="1" applyFont="1" applyFill="1"/>
    <xf numFmtId="165" fontId="0" fillId="0" borderId="0" xfId="0" applyNumberFormat="1"/>
    <xf numFmtId="9" fontId="2" fillId="0" borderId="0" xfId="0" applyNumberFormat="1" applyFont="1"/>
    <xf numFmtId="9" fontId="2" fillId="0" borderId="0" xfId="2" applyFont="1" applyFill="1" applyAlignment="1" applyProtection="1">
      <alignment horizontal="center"/>
      <protection locked="0"/>
    </xf>
    <xf numFmtId="9" fontId="4" fillId="4" borderId="0" xfId="2" applyFont="1" applyFill="1" applyBorder="1" applyAlignment="1" applyProtection="1">
      <alignment horizontal="center" wrapText="1"/>
      <protection locked="0"/>
    </xf>
    <xf numFmtId="44" fontId="2" fillId="0" borderId="4" xfId="1" applyFont="1" applyFill="1" applyBorder="1" applyProtection="1"/>
    <xf numFmtId="0" fontId="2" fillId="0" borderId="5" xfId="0" applyFont="1" applyBorder="1"/>
    <xf numFmtId="0" fontId="2" fillId="0" borderId="5" xfId="0" applyFont="1" applyBorder="1" applyAlignment="1">
      <alignment horizontal="right"/>
    </xf>
    <xf numFmtId="44" fontId="2" fillId="0" borderId="5" xfId="1" applyFont="1" applyFill="1" applyBorder="1" applyProtection="1"/>
    <xf numFmtId="0" fontId="4" fillId="2" borderId="6" xfId="3" applyFont="1" applyBorder="1" applyAlignment="1" applyProtection="1">
      <alignment horizontal="center"/>
      <protection locked="0"/>
    </xf>
    <xf numFmtId="4" fontId="0" fillId="0" borderId="0" xfId="0" applyNumberFormat="1" applyProtection="1">
      <protection locked="0"/>
    </xf>
    <xf numFmtId="4" fontId="8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8" fillId="5" borderId="0" xfId="0" applyFont="1" applyFill="1"/>
    <xf numFmtId="0" fontId="9" fillId="5" borderId="0" xfId="0" applyFont="1" applyFill="1"/>
    <xf numFmtId="0" fontId="10" fillId="5" borderId="0" xfId="0" applyFont="1" applyFill="1"/>
    <xf numFmtId="164" fontId="0" fillId="5" borderId="0" xfId="0" applyNumberFormat="1" applyFill="1"/>
    <xf numFmtId="0" fontId="11" fillId="5" borderId="0" xfId="0" applyFont="1" applyFill="1"/>
    <xf numFmtId="166" fontId="11" fillId="5" borderId="0" xfId="0" applyNumberFormat="1" applyFont="1" applyFill="1"/>
    <xf numFmtId="167" fontId="8" fillId="5" borderId="0" xfId="0" applyNumberFormat="1" applyFont="1" applyFill="1"/>
    <xf numFmtId="166" fontId="0" fillId="5" borderId="0" xfId="0" applyNumberFormat="1" applyFill="1"/>
    <xf numFmtId="4" fontId="0" fillId="5" borderId="0" xfId="0" applyNumberFormat="1" applyFill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164" fontId="0" fillId="0" borderId="0" xfId="0" applyNumberFormat="1"/>
    <xf numFmtId="164" fontId="4" fillId="4" borderId="0" xfId="1" applyNumberFormat="1" applyFont="1" applyFill="1" applyBorder="1" applyAlignment="1" applyProtection="1">
      <alignment horizontal="center" wrapText="1"/>
      <protection locked="0"/>
    </xf>
    <xf numFmtId="9" fontId="4" fillId="4" borderId="0" xfId="2" applyFont="1" applyFill="1" applyBorder="1" applyAlignment="1" applyProtection="1">
      <alignment horizontal="center" wrapText="1"/>
    </xf>
    <xf numFmtId="164" fontId="4" fillId="4" borderId="0" xfId="1" applyNumberFormat="1" applyFont="1" applyFill="1" applyBorder="1" applyAlignment="1" applyProtection="1">
      <alignment horizontal="center" wrapText="1"/>
    </xf>
    <xf numFmtId="0" fontId="2" fillId="0" borderId="3" xfId="0" applyFont="1" applyBorder="1" applyAlignment="1" applyProtection="1">
      <alignment horizontal="center" vertical="center"/>
      <protection locked="0"/>
    </xf>
    <xf numFmtId="44" fontId="2" fillId="0" borderId="0" xfId="1" applyFont="1" applyFill="1" applyProtection="1">
      <protection locked="0"/>
    </xf>
    <xf numFmtId="37" fontId="2" fillId="3" borderId="0" xfId="0" applyNumberFormat="1" applyFont="1" applyFill="1" applyAlignment="1">
      <alignment horizontal="left"/>
    </xf>
    <xf numFmtId="9" fontId="2" fillId="3" borderId="0" xfId="2" applyFont="1" applyFill="1" applyBorder="1" applyProtection="1"/>
    <xf numFmtId="7" fontId="2" fillId="3" borderId="0" xfId="0" applyNumberFormat="1" applyFont="1" applyFill="1"/>
    <xf numFmtId="37" fontId="2" fillId="3" borderId="2" xfId="0" applyNumberFormat="1" applyFont="1" applyFill="1" applyBorder="1" applyAlignment="1">
      <alignment horizontal="left" vertical="top"/>
    </xf>
    <xf numFmtId="0" fontId="13" fillId="0" borderId="0" xfId="0" applyFont="1" applyAlignment="1">
      <alignment horizontal="center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44" fontId="2" fillId="0" borderId="0" xfId="1" applyFont="1" applyFill="1" applyBorder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14" fontId="2" fillId="0" borderId="0" xfId="0" applyNumberFormat="1" applyFont="1"/>
    <xf numFmtId="0" fontId="14" fillId="0" borderId="0" xfId="0" applyFont="1"/>
    <xf numFmtId="0" fontId="14" fillId="0" borderId="0" xfId="0" applyFont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NumberFormat="1"/>
    <xf numFmtId="3" fontId="0" fillId="0" borderId="0" xfId="0" applyNumberFormat="1"/>
  </cellXfs>
  <cellStyles count="4">
    <cellStyle name="Currency" xfId="1" builtinId="4"/>
    <cellStyle name="Normal" xfId="0" builtinId="0"/>
    <cellStyle name="Note" xfId="3" builtinId="10"/>
    <cellStyle name="Percent" xfId="2" builtinId="5"/>
  </cellStyles>
  <dxfs count="22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10</xdr:row>
      <xdr:rowOff>38100</xdr:rowOff>
    </xdr:from>
    <xdr:to>
      <xdr:col>3</xdr:col>
      <xdr:colOff>2428875</xdr:colOff>
      <xdr:row>10</xdr:row>
      <xdr:rowOff>371475</xdr:rowOff>
    </xdr:to>
    <xdr:sp macro="[0]!addgroupite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590925" y="1819275"/>
          <a:ext cx="233362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Add Group Item</a:t>
          </a: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2</xdr:col>
      <xdr:colOff>847725</xdr:colOff>
      <xdr:row>26</xdr:row>
      <xdr:rowOff>485775</xdr:rowOff>
    </xdr:to>
    <xdr:sp macro="[0]!addblankro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4381500"/>
          <a:ext cx="181927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Add Blank Row to Bottom</a:t>
          </a:r>
        </a:p>
      </xdr:txBody>
    </xdr:sp>
    <xdr:clientData/>
  </xdr:twoCellAnchor>
  <xdr:twoCellAnchor>
    <xdr:from>
      <xdr:col>2</xdr:col>
      <xdr:colOff>1066800</xdr:colOff>
      <xdr:row>26</xdr:row>
      <xdr:rowOff>0</xdr:rowOff>
    </xdr:from>
    <xdr:to>
      <xdr:col>3</xdr:col>
      <xdr:colOff>361950</xdr:colOff>
      <xdr:row>26</xdr:row>
      <xdr:rowOff>485775</xdr:rowOff>
    </xdr:to>
    <xdr:sp macro="[0]!addheaderrow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38350" y="4381500"/>
          <a:ext cx="181927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Add Header Rows to Bottom</a:t>
          </a:r>
        </a:p>
      </xdr:txBody>
    </xdr:sp>
    <xdr:clientData/>
  </xdr:twoCellAnchor>
  <xdr:twoCellAnchor>
    <xdr:from>
      <xdr:col>3</xdr:col>
      <xdr:colOff>561976</xdr:colOff>
      <xdr:row>26</xdr:row>
      <xdr:rowOff>0</xdr:rowOff>
    </xdr:from>
    <xdr:to>
      <xdr:col>3</xdr:col>
      <xdr:colOff>2409826</xdr:colOff>
      <xdr:row>26</xdr:row>
      <xdr:rowOff>495300</xdr:rowOff>
    </xdr:to>
    <xdr:sp macro="[0]!addformularow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057651" y="4381500"/>
          <a:ext cx="1847850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Add Formula Row to Bottom</a:t>
          </a: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2</xdr:col>
      <xdr:colOff>847725</xdr:colOff>
      <xdr:row>27</xdr:row>
      <xdr:rowOff>476250</xdr:rowOff>
    </xdr:to>
    <xdr:sp macro="[0]!creatnewworkshee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5000625"/>
          <a:ext cx="181927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Add New Quote Worksheet</a:t>
          </a:r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2</xdr:col>
      <xdr:colOff>847725</xdr:colOff>
      <xdr:row>25</xdr:row>
      <xdr:rowOff>485775</xdr:rowOff>
    </xdr:to>
    <xdr:sp macro="[0]!insertrow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3733800"/>
          <a:ext cx="181927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Insert</a:t>
          </a:r>
          <a:r>
            <a:rPr lang="en-US" sz="1100" baseline="0"/>
            <a:t> Row at Selection</a:t>
          </a:r>
          <a:endParaRPr lang="en-US" sz="1100"/>
        </a:p>
      </xdr:txBody>
    </xdr:sp>
    <xdr:clientData/>
  </xdr:twoCellAnchor>
  <xdr:twoCellAnchor>
    <xdr:from>
      <xdr:col>3</xdr:col>
      <xdr:colOff>581025</xdr:colOff>
      <xdr:row>25</xdr:row>
      <xdr:rowOff>0</xdr:rowOff>
    </xdr:from>
    <xdr:to>
      <xdr:col>3</xdr:col>
      <xdr:colOff>2400300</xdr:colOff>
      <xdr:row>25</xdr:row>
      <xdr:rowOff>485775</xdr:rowOff>
    </xdr:to>
    <xdr:sp macro="[0]!deletero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10050" y="3733800"/>
          <a:ext cx="181927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Delete</a:t>
          </a:r>
          <a:r>
            <a:rPr lang="en-US" sz="1100" baseline="0"/>
            <a:t> Row at Selection</a:t>
          </a:r>
          <a:endParaRPr lang="en-US" sz="1100"/>
        </a:p>
      </xdr:txBody>
    </xdr:sp>
    <xdr:clientData/>
  </xdr:twoCellAnchor>
  <xdr:twoCellAnchor>
    <xdr:from>
      <xdr:col>2</xdr:col>
      <xdr:colOff>1076325</xdr:colOff>
      <xdr:row>25</xdr:row>
      <xdr:rowOff>0</xdr:rowOff>
    </xdr:from>
    <xdr:to>
      <xdr:col>3</xdr:col>
      <xdr:colOff>371475</xdr:colOff>
      <xdr:row>25</xdr:row>
      <xdr:rowOff>485775</xdr:rowOff>
    </xdr:to>
    <xdr:sp macro="[0]!insertformularow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81225" y="3733800"/>
          <a:ext cx="181927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Insert Formula</a:t>
          </a:r>
          <a:r>
            <a:rPr lang="en-US" sz="1100" baseline="0"/>
            <a:t> Row at Selection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10</xdr:row>
      <xdr:rowOff>38100</xdr:rowOff>
    </xdr:from>
    <xdr:to>
      <xdr:col>3</xdr:col>
      <xdr:colOff>2428875</xdr:colOff>
      <xdr:row>10</xdr:row>
      <xdr:rowOff>371475</xdr:rowOff>
    </xdr:to>
    <xdr:sp macro="[0]!addgroupite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3590925" y="1819275"/>
          <a:ext cx="233362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Add Group Item</a:t>
          </a: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2</xdr:col>
      <xdr:colOff>847725</xdr:colOff>
      <xdr:row>18</xdr:row>
      <xdr:rowOff>485775</xdr:rowOff>
    </xdr:to>
    <xdr:sp macro="[0]!addblankro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4381500"/>
          <a:ext cx="181927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Add Blank Row to Bottom</a:t>
          </a:r>
        </a:p>
      </xdr:txBody>
    </xdr:sp>
    <xdr:clientData/>
  </xdr:twoCellAnchor>
  <xdr:twoCellAnchor>
    <xdr:from>
      <xdr:col>2</xdr:col>
      <xdr:colOff>1066800</xdr:colOff>
      <xdr:row>18</xdr:row>
      <xdr:rowOff>0</xdr:rowOff>
    </xdr:from>
    <xdr:to>
      <xdr:col>3</xdr:col>
      <xdr:colOff>361950</xdr:colOff>
      <xdr:row>18</xdr:row>
      <xdr:rowOff>485775</xdr:rowOff>
    </xdr:to>
    <xdr:sp macro="[0]!addheaderrow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038350" y="4381500"/>
          <a:ext cx="181927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Add Header Rows to Bottom</a:t>
          </a:r>
        </a:p>
      </xdr:txBody>
    </xdr:sp>
    <xdr:clientData/>
  </xdr:twoCellAnchor>
  <xdr:twoCellAnchor>
    <xdr:from>
      <xdr:col>3</xdr:col>
      <xdr:colOff>561976</xdr:colOff>
      <xdr:row>18</xdr:row>
      <xdr:rowOff>0</xdr:rowOff>
    </xdr:from>
    <xdr:to>
      <xdr:col>3</xdr:col>
      <xdr:colOff>2409826</xdr:colOff>
      <xdr:row>18</xdr:row>
      <xdr:rowOff>495300</xdr:rowOff>
    </xdr:to>
    <xdr:sp macro="[0]!addformularow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057651" y="4381500"/>
          <a:ext cx="1847850" cy="495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Add Formula Row to Bottom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2</xdr:col>
      <xdr:colOff>847725</xdr:colOff>
      <xdr:row>19</xdr:row>
      <xdr:rowOff>476250</xdr:rowOff>
    </xdr:to>
    <xdr:sp macro="[0]!creatnewworkshee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0" y="5000625"/>
          <a:ext cx="181927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Add New Quote Worksheet</a:t>
          </a: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2</xdr:col>
      <xdr:colOff>847725</xdr:colOff>
      <xdr:row>17</xdr:row>
      <xdr:rowOff>485775</xdr:rowOff>
    </xdr:to>
    <xdr:sp macro="[0]!insertrow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3733800"/>
          <a:ext cx="181927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Insert</a:t>
          </a:r>
          <a:r>
            <a:rPr lang="en-US" sz="1100" baseline="0"/>
            <a:t> Row at Selection</a:t>
          </a:r>
          <a:endParaRPr lang="en-US" sz="1100"/>
        </a:p>
      </xdr:txBody>
    </xdr:sp>
    <xdr:clientData/>
  </xdr:twoCellAnchor>
  <xdr:twoCellAnchor>
    <xdr:from>
      <xdr:col>2</xdr:col>
      <xdr:colOff>1076325</xdr:colOff>
      <xdr:row>17</xdr:row>
      <xdr:rowOff>0</xdr:rowOff>
    </xdr:from>
    <xdr:to>
      <xdr:col>3</xdr:col>
      <xdr:colOff>371475</xdr:colOff>
      <xdr:row>17</xdr:row>
      <xdr:rowOff>485775</xdr:rowOff>
    </xdr:to>
    <xdr:sp macro="[0]!deletero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047875" y="3733800"/>
          <a:ext cx="181927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Delete</a:t>
          </a:r>
          <a:r>
            <a:rPr lang="en-US" sz="1100" baseline="0"/>
            <a:t> Row at Selection</a:t>
          </a:r>
          <a:endParaRPr lang="en-US" sz="1100"/>
        </a:p>
      </xdr:txBody>
    </xdr:sp>
    <xdr:clientData/>
  </xdr:twoCellAnchor>
  <xdr:twoCellAnchor>
    <xdr:from>
      <xdr:col>3</xdr:col>
      <xdr:colOff>561975</xdr:colOff>
      <xdr:row>16</xdr:row>
      <xdr:rowOff>304800</xdr:rowOff>
    </xdr:from>
    <xdr:to>
      <xdr:col>3</xdr:col>
      <xdr:colOff>2381250</xdr:colOff>
      <xdr:row>17</xdr:row>
      <xdr:rowOff>476250</xdr:rowOff>
    </xdr:to>
    <xdr:sp macro="[0]!insertformularow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4057650" y="3724275"/>
          <a:ext cx="181927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Insert Formula</a:t>
          </a:r>
          <a:r>
            <a:rPr lang="en-US" sz="1100" baseline="0"/>
            <a:t> Row at Selection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ER31"/>
  <sheetViews>
    <sheetView topLeftCell="A4" zoomScaleNormal="100" workbookViewId="0">
      <selection activeCell="K24" sqref="K17:K24"/>
    </sheetView>
  </sheetViews>
  <sheetFormatPr defaultColWidth="9.140625" defaultRowHeight="12.75" x14ac:dyDescent="0.2"/>
  <cols>
    <col min="1" max="1" width="10.140625" style="10" bestFit="1" customWidth="1"/>
    <col min="2" max="2" width="7.42578125" style="10" customWidth="1"/>
    <col min="3" max="3" width="37.85546875" style="10" customWidth="1"/>
    <col min="4" max="4" width="40.140625" style="10" customWidth="1"/>
    <col min="5" max="5" width="8.42578125" style="10" bestFit="1" customWidth="1"/>
    <col min="6" max="6" width="8" style="10" bestFit="1" customWidth="1"/>
    <col min="7" max="7" width="10.42578125" style="10" bestFit="1" customWidth="1"/>
    <col min="8" max="8" width="9.140625" style="10" customWidth="1"/>
    <col min="9" max="9" width="9.28515625" style="10" bestFit="1" customWidth="1"/>
    <col min="10" max="10" width="12.7109375" style="10" customWidth="1"/>
    <col min="11" max="11" width="14.85546875" style="10" bestFit="1" customWidth="1"/>
    <col min="12" max="12" width="9.7109375" style="10" bestFit="1" customWidth="1"/>
    <col min="13" max="13" width="12.28515625" style="10" bestFit="1" customWidth="1"/>
    <col min="14" max="14" width="11.7109375" style="10" customWidth="1"/>
    <col min="15" max="15" width="8.42578125" style="10" bestFit="1" customWidth="1"/>
    <col min="16" max="16" width="14.28515625" style="10" bestFit="1" customWidth="1"/>
    <col min="17" max="17" width="14" style="10" bestFit="1" customWidth="1"/>
    <col min="18" max="18" width="11.5703125" style="10" customWidth="1"/>
    <col min="19" max="19" width="9.140625" style="10"/>
    <col min="20" max="20" width="15.42578125" style="10" bestFit="1" customWidth="1"/>
    <col min="21" max="23" width="9.140625" style="10"/>
    <col min="24" max="24" width="13.42578125" style="10" bestFit="1" customWidth="1"/>
    <col min="25" max="16384" width="9.140625" style="10"/>
  </cols>
  <sheetData>
    <row r="1" spans="1:18" ht="25.5" x14ac:dyDescent="0.2">
      <c r="A1" s="11" t="s">
        <v>220</v>
      </c>
      <c r="B1" s="11"/>
      <c r="C1" s="12" t="s">
        <v>20</v>
      </c>
      <c r="D1" s="24">
        <v>0</v>
      </c>
      <c r="E1" s="11"/>
      <c r="F1" s="11"/>
      <c r="G1" s="11"/>
      <c r="H1" s="11"/>
      <c r="I1" s="11"/>
      <c r="J1" s="11"/>
      <c r="K1" s="3" t="s">
        <v>15</v>
      </c>
      <c r="L1" s="3" t="s">
        <v>8</v>
      </c>
      <c r="M1" s="3" t="s">
        <v>5</v>
      </c>
      <c r="N1" s="3" t="s">
        <v>11</v>
      </c>
      <c r="O1" s="3" t="s">
        <v>135</v>
      </c>
      <c r="P1" s="1" t="s">
        <v>1</v>
      </c>
      <c r="Q1" s="3" t="s">
        <v>136</v>
      </c>
      <c r="R1" s="11"/>
    </row>
    <row r="2" spans="1:18" x14ac:dyDescent="0.2">
      <c r="A2" s="76">
        <v>45678</v>
      </c>
      <c r="B2" s="11"/>
      <c r="C2" s="12" t="s">
        <v>188</v>
      </c>
      <c r="D2" s="35">
        <v>0</v>
      </c>
      <c r="E2" s="11"/>
      <c r="F2" s="11"/>
      <c r="G2" s="11"/>
      <c r="H2" s="11"/>
      <c r="I2" s="11"/>
      <c r="J2" s="11"/>
      <c r="K2" s="13">
        <f>SUM(K4:K10011)</f>
        <v>61.766447999999997</v>
      </c>
      <c r="L2" s="27">
        <f>M2/K2</f>
        <v>0.27101367396098291</v>
      </c>
      <c r="M2" s="13">
        <f>Q2-N2-K2-P2</f>
        <v>16.739552000000003</v>
      </c>
      <c r="N2" s="13">
        <f>SUM(N4:N10011)</f>
        <v>5.4940000000000007</v>
      </c>
      <c r="O2" s="27">
        <f>((Q2-P2)-K2)/K2</f>
        <v>0.35996164131050573</v>
      </c>
      <c r="P2" s="13">
        <f>SUM(P4:P10011)</f>
        <v>0</v>
      </c>
      <c r="Q2" s="13">
        <f>SUM(Q4:Q10011)</f>
        <v>84</v>
      </c>
      <c r="R2" s="11"/>
    </row>
    <row r="3" spans="1:18" x14ac:dyDescent="0.2">
      <c r="A3" s="11"/>
      <c r="B3" s="11"/>
      <c r="C3" s="12" t="s">
        <v>189</v>
      </c>
      <c r="D3" s="35">
        <v>0.25</v>
      </c>
      <c r="E3" s="11"/>
      <c r="F3" s="11"/>
      <c r="G3" s="11"/>
      <c r="H3" s="11"/>
      <c r="I3" s="11"/>
      <c r="J3" s="11"/>
      <c r="K3" s="13"/>
      <c r="L3" s="27"/>
      <c r="M3" s="13"/>
      <c r="N3" s="13"/>
      <c r="O3" s="27"/>
      <c r="P3" s="13"/>
      <c r="Q3" s="13"/>
      <c r="R3" s="11"/>
    </row>
    <row r="4" spans="1:18" x14ac:dyDescent="0.2">
      <c r="A4" s="11"/>
      <c r="B4" s="11"/>
      <c r="C4" s="12" t="s">
        <v>12</v>
      </c>
      <c r="D4" s="25">
        <v>1.25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18" x14ac:dyDescent="0.2">
      <c r="A5" s="11"/>
      <c r="B5" s="11"/>
      <c r="C5" s="12" t="s">
        <v>13</v>
      </c>
      <c r="D5" s="26">
        <v>1.75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18" x14ac:dyDescent="0.2">
      <c r="A6" s="11"/>
      <c r="B6" s="11"/>
      <c r="C6" s="12" t="s">
        <v>137</v>
      </c>
      <c r="D6" s="65">
        <v>1.4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34"/>
      <c r="P6" s="11"/>
      <c r="Q6" s="11"/>
      <c r="R6" s="11"/>
    </row>
    <row r="7" spans="1:18" x14ac:dyDescent="0.2">
      <c r="A7" s="11"/>
      <c r="B7" s="11"/>
      <c r="C7" s="12" t="s">
        <v>138</v>
      </c>
      <c r="D7" s="65">
        <v>850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</row>
    <row r="8" spans="1:18" x14ac:dyDescent="0.2">
      <c r="A8" s="11"/>
      <c r="B8" s="11"/>
      <c r="C8" s="12" t="s">
        <v>139</v>
      </c>
      <c r="D8" s="65">
        <v>350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</row>
    <row r="9" spans="1:18" x14ac:dyDescent="0.2">
      <c r="A9" s="11"/>
      <c r="B9" s="11"/>
      <c r="C9" s="12"/>
      <c r="D9" s="1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</row>
    <row r="10" spans="1:18" x14ac:dyDescent="0.2">
      <c r="A10" s="11"/>
      <c r="B10" s="11"/>
      <c r="C10" s="12"/>
      <c r="D10" s="1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</row>
    <row r="11" spans="1:18" ht="32.25" customHeight="1" x14ac:dyDescent="0.2">
      <c r="A11" s="11"/>
      <c r="B11" s="11"/>
      <c r="C11" s="64" t="s">
        <v>256</v>
      </c>
      <c r="D11" s="37"/>
      <c r="E11" s="27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</row>
    <row r="12" spans="1:18" x14ac:dyDescent="0.2">
      <c r="A12" s="38"/>
      <c r="B12" s="38"/>
      <c r="C12" s="39"/>
      <c r="D12" s="40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</row>
    <row r="13" spans="1:18" x14ac:dyDescent="0.2">
      <c r="A13" s="71"/>
      <c r="B13" s="71"/>
      <c r="C13" s="72"/>
      <c r="D13" s="73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</row>
    <row r="14" spans="1:18" ht="15.75" x14ac:dyDescent="0.25">
      <c r="A14" s="74">
        <v>1</v>
      </c>
      <c r="B14" s="74" t="s">
        <v>0</v>
      </c>
      <c r="C14" s="75" t="s">
        <v>287</v>
      </c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</row>
    <row r="15" spans="1:18" ht="38.25" x14ac:dyDescent="0.2">
      <c r="A15" s="1" t="s">
        <v>7</v>
      </c>
      <c r="B15" s="1" t="s">
        <v>3</v>
      </c>
      <c r="C15" s="1" t="s">
        <v>10</v>
      </c>
      <c r="D15" s="1" t="s">
        <v>4</v>
      </c>
      <c r="E15" s="3" t="s">
        <v>21</v>
      </c>
      <c r="F15" s="3" t="s">
        <v>26</v>
      </c>
      <c r="G15" s="3" t="s">
        <v>27</v>
      </c>
      <c r="H15" s="3" t="s">
        <v>145</v>
      </c>
      <c r="I15" s="3" t="s">
        <v>23</v>
      </c>
      <c r="J15" s="3" t="s">
        <v>146</v>
      </c>
      <c r="K15" s="3" t="s">
        <v>15</v>
      </c>
      <c r="L15" s="3" t="s">
        <v>8</v>
      </c>
      <c r="M15" s="3" t="s">
        <v>5</v>
      </c>
      <c r="N15" s="3" t="s">
        <v>11</v>
      </c>
      <c r="O15" s="3" t="s">
        <v>2</v>
      </c>
      <c r="P15" s="1" t="s">
        <v>1</v>
      </c>
      <c r="Q15" s="3" t="s">
        <v>6</v>
      </c>
      <c r="R15" s="3" t="s">
        <v>18</v>
      </c>
    </row>
    <row r="16" spans="1:18" x14ac:dyDescent="0.2">
      <c r="A16" s="71"/>
      <c r="B16" s="71"/>
      <c r="C16" s="72"/>
      <c r="D16" s="73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</row>
    <row r="17" spans="1:148" x14ac:dyDescent="0.2">
      <c r="A17" s="71"/>
      <c r="B17" s="71"/>
      <c r="C17" s="72"/>
      <c r="D17" s="73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</row>
    <row r="18" spans="1:148" customFormat="1" ht="15.75" x14ac:dyDescent="0.25">
      <c r="A18" s="74">
        <v>1</v>
      </c>
      <c r="B18" s="74" t="s">
        <v>0</v>
      </c>
      <c r="C18" s="75" t="s">
        <v>247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</row>
    <row r="19" spans="1:148" customFormat="1" ht="39" x14ac:dyDescent="0.25">
      <c r="A19" s="1" t="s">
        <v>7</v>
      </c>
      <c r="B19" s="1" t="s">
        <v>3</v>
      </c>
      <c r="C19" s="1" t="s">
        <v>10</v>
      </c>
      <c r="D19" s="1" t="s">
        <v>4</v>
      </c>
      <c r="E19" s="3" t="s">
        <v>21</v>
      </c>
      <c r="F19" s="3" t="s">
        <v>26</v>
      </c>
      <c r="G19" s="3" t="s">
        <v>27</v>
      </c>
      <c r="H19" s="3" t="s">
        <v>145</v>
      </c>
      <c r="I19" s="3" t="s">
        <v>23</v>
      </c>
      <c r="J19" s="3" t="s">
        <v>146</v>
      </c>
      <c r="K19" s="3" t="s">
        <v>15</v>
      </c>
      <c r="L19" s="3" t="s">
        <v>8</v>
      </c>
      <c r="M19" s="3" t="s">
        <v>5</v>
      </c>
      <c r="N19" s="3" t="s">
        <v>11</v>
      </c>
      <c r="O19" s="3" t="s">
        <v>2</v>
      </c>
      <c r="P19" s="1" t="s">
        <v>1</v>
      </c>
      <c r="Q19" s="3" t="s">
        <v>6</v>
      </c>
      <c r="R19" s="3" t="s">
        <v>18</v>
      </c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</row>
    <row r="20" spans="1:148" customFormat="1" ht="15" x14ac:dyDescent="0.25">
      <c r="A20" s="6">
        <f>0.134*A18</f>
        <v>0.13400000000000001</v>
      </c>
      <c r="B20" s="7" t="str">
        <f>VLOOKUP($C20,Items!$A$2:$AE$10014,5,FALSE)</f>
        <v>mh</v>
      </c>
      <c r="C20" s="41" t="s">
        <v>49</v>
      </c>
      <c r="D20" s="6" t="s">
        <v>242</v>
      </c>
      <c r="E20" s="28">
        <f>VLOOKUP($C20,Items!$A$2:$AE$10014,6,FALSE)</f>
        <v>0</v>
      </c>
      <c r="F20" s="28">
        <f>VLOOKUP($C20,Items!$A$2:$AE$10014,7,FALSE)</f>
        <v>0</v>
      </c>
      <c r="G20" s="28">
        <f>VLOOKUP($C20,Items!$A$2:$AE$10014,8,FALSE)</f>
        <v>0</v>
      </c>
      <c r="H20" s="28">
        <f>IF(E20=0,+VLOOKUP($C20,Items!$A$2:$AE$10014,9,FALSE),+VLOOKUP($C20,Items!$A$2:$AE$10014,9,FALSE)*E20*F20*G20)</f>
        <v>0</v>
      </c>
      <c r="I20" s="29">
        <f>IF(E20=0,+VLOOKUP($C20,Items!$A$2:$AE$10014,10,FALSE)*A20,(A20*H20))</f>
        <v>0</v>
      </c>
      <c r="J20" s="8">
        <f>IF(E20=0,+VLOOKUP($C20,Items!$A$2:$AE$10014,3,FALSE),+VLOOKUP($C20,Items!$A$2:$AE$10014,3,FALSE)*H20)</f>
        <v>40</v>
      </c>
      <c r="K20" s="16">
        <f t="shared" ref="K20:K23" si="0">A20*J20</f>
        <v>5.36</v>
      </c>
      <c r="L20" s="36">
        <f>IF(R20="Labor",$D$2,$D$3)</f>
        <v>0</v>
      </c>
      <c r="M20" s="16">
        <f t="shared" ref="M20:M23" si="1">K20*L20</f>
        <v>0</v>
      </c>
      <c r="N20" s="17">
        <f>VLOOKUP($C20,Items!$A$2:$AE$10014,4,FALSE)*A20</f>
        <v>5.4940000000000007</v>
      </c>
      <c r="O20" s="9">
        <v>0</v>
      </c>
      <c r="P20" s="18">
        <f>IF(O20=1,(K20+M20)*($D$1),0)</f>
        <v>0</v>
      </c>
      <c r="Q20" s="16">
        <f t="shared" ref="Q20:Q23" si="2">ROUNDUP(K20+M20+N20+P20,0)</f>
        <v>11</v>
      </c>
      <c r="R20" s="61" t="str">
        <f>VLOOKUP($C20,Items!$A$2:$AE$10014,11,FALSE)</f>
        <v>Labor</v>
      </c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</row>
    <row r="21" spans="1:148" customFormat="1" ht="15" x14ac:dyDescent="0.25">
      <c r="A21" s="6">
        <f>1*A18</f>
        <v>1</v>
      </c>
      <c r="B21" s="7" t="str">
        <f>VLOOKUP($C21,Items!$A$2:$AE$10014,5,FALSE)</f>
        <v>ea</v>
      </c>
      <c r="C21" s="41" t="s">
        <v>104</v>
      </c>
      <c r="D21" s="6" t="s">
        <v>249</v>
      </c>
      <c r="E21" s="28">
        <f>VLOOKUP($C21,Items!$A$2:$AE$10014,6,FALSE)</f>
        <v>0</v>
      </c>
      <c r="F21" s="28">
        <f>VLOOKUP($C21,Items!$A$2:$AE$10014,7,FALSE)</f>
        <v>0</v>
      </c>
      <c r="G21" s="28">
        <f>VLOOKUP($C21,Items!$A$2:$AE$10014,8,FALSE)</f>
        <v>0</v>
      </c>
      <c r="H21" s="28">
        <f>IF(E21=0,+VLOOKUP($C21,Items!$A$2:$AE$10014,9,FALSE),+VLOOKUP($C21,Items!$A$2:$AE$10014,9,FALSE)*E21*F21*G21)</f>
        <v>0</v>
      </c>
      <c r="I21" s="29">
        <f>IF(E21=0,+VLOOKUP($C21,Items!$A$2:$AE$10014,10,FALSE)*A21,(A21*H21))</f>
        <v>0</v>
      </c>
      <c r="J21" s="8">
        <v>0.17199999999999999</v>
      </c>
      <c r="K21" s="16">
        <f t="shared" si="0"/>
        <v>0.17199999999999999</v>
      </c>
      <c r="L21" s="36">
        <f t="shared" ref="L21:L23" si="3">IF(R21="Labor",$D$2,$D$3)</f>
        <v>0.25</v>
      </c>
      <c r="M21" s="16">
        <f t="shared" si="1"/>
        <v>4.2999999999999997E-2</v>
      </c>
      <c r="N21" s="17">
        <f>VLOOKUP($C21,Items!$A$2:$AE$10014,4,FALSE)*A21</f>
        <v>0</v>
      </c>
      <c r="O21" s="9">
        <v>0</v>
      </c>
      <c r="P21" s="18">
        <f t="shared" ref="P21:P23" si="4">IF(O21=1,(K21+M21)*($D$1),0)</f>
        <v>0</v>
      </c>
      <c r="Q21" s="16">
        <f t="shared" si="2"/>
        <v>1</v>
      </c>
      <c r="R21" s="61" t="str">
        <f>VLOOKUP($C21,Items!$A$2:$AE$10014,11,FALSE)</f>
        <v>Material</v>
      </c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</row>
    <row r="22" spans="1:148" customFormat="1" ht="15" x14ac:dyDescent="0.25">
      <c r="A22" s="6">
        <f>1*A18</f>
        <v>1</v>
      </c>
      <c r="B22" s="7" t="str">
        <f>VLOOKUP($C22,Items!$A$2:$AE$10014,5,FALSE)</f>
        <v>ea</v>
      </c>
      <c r="C22" s="41" t="s">
        <v>64</v>
      </c>
      <c r="D22" s="6" t="s">
        <v>250</v>
      </c>
      <c r="E22" s="28">
        <f>VLOOKUP($C22,Items!$A$2:$AE$10014,6,FALSE)</f>
        <v>0</v>
      </c>
      <c r="F22" s="28">
        <f>VLOOKUP($C22,Items!$A$2:$AE$10014,7,FALSE)</f>
        <v>0</v>
      </c>
      <c r="G22" s="28">
        <f>VLOOKUP($C22,Items!$A$2:$AE$10014,8,FALSE)</f>
        <v>0</v>
      </c>
      <c r="H22" s="28">
        <f>IF(E22=0,+VLOOKUP($C22,Items!$A$2:$AE$10014,9,FALSE),+VLOOKUP($C22,Items!$A$2:$AE$10014,9,FALSE)*E22*F22*G22)</f>
        <v>0</v>
      </c>
      <c r="I22" s="29">
        <f>IF(E22=0,+VLOOKUP($C22,Items!$A$2:$AE$10014,10,FALSE)*A22,(A22*H22))</f>
        <v>0</v>
      </c>
      <c r="J22" s="8">
        <v>0.23400000000000001</v>
      </c>
      <c r="K22" s="16">
        <f t="shared" si="0"/>
        <v>0.23400000000000001</v>
      </c>
      <c r="L22" s="36">
        <f t="shared" si="3"/>
        <v>0.25</v>
      </c>
      <c r="M22" s="16">
        <f t="shared" si="1"/>
        <v>5.8500000000000003E-2</v>
      </c>
      <c r="N22" s="17">
        <f>VLOOKUP($C22,Items!$A$2:$AE$10014,4,FALSE)*A22</f>
        <v>0</v>
      </c>
      <c r="O22" s="9">
        <v>0</v>
      </c>
      <c r="P22" s="18">
        <f t="shared" si="4"/>
        <v>0</v>
      </c>
      <c r="Q22" s="16">
        <f t="shared" si="2"/>
        <v>1</v>
      </c>
      <c r="R22" s="61" t="str">
        <f>VLOOKUP($C22,Items!$A$2:$AE$10014,11,FALSE)</f>
        <v>Material</v>
      </c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</row>
    <row r="23" spans="1:148" customFormat="1" ht="15" x14ac:dyDescent="0.25">
      <c r="A23" s="6">
        <f>1*A18</f>
        <v>1</v>
      </c>
      <c r="B23" s="7" t="str">
        <f>VLOOKUP($C23,Items!$A$2:$AE$10014,5,FALSE)</f>
        <v>ea</v>
      </c>
      <c r="C23" s="41" t="s">
        <v>243</v>
      </c>
      <c r="D23" s="6" t="s">
        <v>244</v>
      </c>
      <c r="E23" s="28">
        <v>4</v>
      </c>
      <c r="F23" s="28">
        <v>12</v>
      </c>
      <c r="G23" s="28">
        <v>2</v>
      </c>
      <c r="H23" s="28">
        <f>IF(E23=0,+VLOOKUP($C23,Items!$A$2:$AE$10014,9,FALSE),+VLOOKUP($C23,Items!$A$2:$AE$10014,9,FALSE)*E23*F23*G23)</f>
        <v>40.000320000000002</v>
      </c>
      <c r="I23" s="29">
        <f>IF(E23=0,+VLOOKUP($C23,Items!$A$2:$AE$10014,10,FALSE)*A23,(A23*H23))</f>
        <v>40.000320000000002</v>
      </c>
      <c r="J23" s="8">
        <f>IF(E23=0,+VLOOKUP($C23,Items!$A$2:$AE$10014,3,FALSE),+VLOOKUP($C23,Items!$A$2:$AE$10014,3,FALSE)*H23)</f>
        <v>56.000447999999999</v>
      </c>
      <c r="K23" s="16">
        <f t="shared" si="0"/>
        <v>56.000447999999999</v>
      </c>
      <c r="L23" s="36">
        <f t="shared" si="3"/>
        <v>0.25</v>
      </c>
      <c r="M23" s="16">
        <f t="shared" si="1"/>
        <v>14.000112</v>
      </c>
      <c r="N23" s="17">
        <f>VLOOKUP($C23,Items!$A$2:$AE$10014,4,FALSE)*A23</f>
        <v>0</v>
      </c>
      <c r="O23" s="9">
        <v>0</v>
      </c>
      <c r="P23" s="18">
        <f t="shared" si="4"/>
        <v>0</v>
      </c>
      <c r="Q23" s="16">
        <f t="shared" si="2"/>
        <v>71</v>
      </c>
      <c r="R23" s="61" t="str">
        <f>VLOOKUP($C23,Items!$A$2:$AE$10014,11,FALSE)</f>
        <v>Material</v>
      </c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</row>
    <row r="24" spans="1:148" x14ac:dyDescent="0.2">
      <c r="A24" s="71"/>
      <c r="B24" s="71"/>
      <c r="C24" s="72"/>
      <c r="D24" s="73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</row>
    <row r="25" spans="1:148" ht="24.75" customHeight="1" x14ac:dyDescent="0.2">
      <c r="A25" s="69" t="s">
        <v>133</v>
      </c>
      <c r="B25" s="19"/>
      <c r="C25" s="19"/>
      <c r="D25" s="19"/>
      <c r="E25" s="19"/>
      <c r="F25" s="19"/>
      <c r="G25" s="19"/>
      <c r="H25" s="19"/>
      <c r="I25" s="19"/>
      <c r="J25" s="20"/>
      <c r="K25" s="21"/>
      <c r="L25" s="21"/>
      <c r="M25" s="21"/>
      <c r="N25" s="21"/>
      <c r="O25" s="19"/>
      <c r="P25" s="19"/>
      <c r="Q25" s="19"/>
      <c r="R25" s="19"/>
    </row>
    <row r="26" spans="1:148" ht="51" customHeight="1" x14ac:dyDescent="0.2">
      <c r="A26" s="66"/>
      <c r="J26" s="67"/>
      <c r="K26" s="68"/>
      <c r="L26" s="68"/>
      <c r="M26" s="68"/>
      <c r="N26" s="68"/>
    </row>
    <row r="27" spans="1:148" ht="48.75" customHeight="1" x14ac:dyDescent="0.2">
      <c r="A27" s="66"/>
      <c r="J27" s="67"/>
      <c r="K27" s="68"/>
      <c r="L27" s="68"/>
      <c r="M27" s="68"/>
      <c r="N27" s="68"/>
    </row>
    <row r="28" spans="1:148" ht="50.25" customHeight="1" x14ac:dyDescent="0.2"/>
    <row r="30" spans="1:148" ht="32.25" customHeight="1" x14ac:dyDescent="0.2"/>
    <row r="31" spans="1:148" ht="15" x14ac:dyDescent="0.25">
      <c r="C31" s="70" t="s">
        <v>190</v>
      </c>
    </row>
  </sheetData>
  <sheetProtection sheet="1" objects="1" scenarios="1" selectLockedCells="1"/>
  <conditionalFormatting sqref="E20:G23">
    <cfRule type="cellIs" dxfId="227" priority="7" operator="lessThanOrEqual">
      <formula>0.0001</formula>
    </cfRule>
  </conditionalFormatting>
  <conditionalFormatting sqref="B20:B23">
    <cfRule type="cellIs" dxfId="226" priority="6" operator="equal">
      <formula>0</formula>
    </cfRule>
  </conditionalFormatting>
  <conditionalFormatting sqref="D20:D23">
    <cfRule type="cellIs" dxfId="225" priority="5" operator="equal">
      <formula>0</formula>
    </cfRule>
  </conditionalFormatting>
  <conditionalFormatting sqref="H20:I23">
    <cfRule type="cellIs" dxfId="224" priority="4" operator="equal">
      <formula>$E20</formula>
    </cfRule>
  </conditionalFormatting>
  <conditionalFormatting sqref="I20">
    <cfRule type="cellIs" dxfId="223" priority="3" operator="equal">
      <formula>$E20</formula>
    </cfRule>
  </conditionalFormatting>
  <conditionalFormatting sqref="R20:R23">
    <cfRule type="cellIs" dxfId="222" priority="2" operator="lessThanOrEqual">
      <formula>0.001</formula>
    </cfRule>
  </conditionalFormatting>
  <conditionalFormatting sqref="D20:D23">
    <cfRule type="cellIs" dxfId="221" priority="1" operator="equal">
      <formula>0</formula>
    </cfRule>
  </conditionalFormatting>
  <pageMargins left="0.7" right="0.7" top="0.75" bottom="0.75" header="0.3" footer="0.3"/>
  <pageSetup fitToWidth="0" orientation="portrait" verticalDpi="598" r:id="rId1"/>
  <colBreaks count="1" manualBreakCount="1">
    <brk id="18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8C2FE85-C775-4DF9-BC53-CC01EBE6B5E4}">
          <x14:formula1>
            <xm:f>GroupItemsList!A:A</xm:f>
          </x14:formula1>
          <xm:sqref>C11</xm:sqref>
        </x14:dataValidation>
        <x14:dataValidation type="list" allowBlank="1" showInputMessage="1" showErrorMessage="1" xr:uid="{5B01C4F9-9F16-4988-B2C3-AFFD3388CFF6}">
          <x14:formula1>
            <xm:f>Items!A20:A100028</xm:f>
          </x14:formula1>
          <xm:sqref>C20:C23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35"/>
  <sheetViews>
    <sheetView topLeftCell="A106" workbookViewId="0">
      <selection activeCell="A120" sqref="A120:C135"/>
    </sheetView>
  </sheetViews>
  <sheetFormatPr defaultRowHeight="15" x14ac:dyDescent="0.25"/>
  <cols>
    <col min="1" max="1" width="45.7109375" bestFit="1" customWidth="1"/>
    <col min="2" max="2" width="35" customWidth="1"/>
    <col min="3" max="3" width="15.7109375" style="33" customWidth="1"/>
    <col min="4" max="4" width="13.42578125" customWidth="1"/>
    <col min="5" max="5" width="9.140625" bestFit="1" customWidth="1"/>
    <col min="6" max="8" width="11.7109375" customWidth="1"/>
    <col min="9" max="9" width="15.5703125" customWidth="1"/>
    <col min="10" max="10" width="16.5703125" bestFit="1" customWidth="1"/>
    <col min="11" max="11" width="14.28515625" bestFit="1" customWidth="1"/>
  </cols>
  <sheetData>
    <row r="1" spans="1:11" x14ac:dyDescent="0.25">
      <c r="A1" s="2" t="s">
        <v>10</v>
      </c>
      <c r="B1" s="2" t="s">
        <v>4</v>
      </c>
      <c r="C1" s="30" t="s">
        <v>9</v>
      </c>
      <c r="D1" s="2" t="s">
        <v>11</v>
      </c>
      <c r="E1" s="2" t="s">
        <v>34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24</v>
      </c>
      <c r="K1" t="s">
        <v>18</v>
      </c>
    </row>
    <row r="2" spans="1:11" x14ac:dyDescent="0.25">
      <c r="A2" t="s">
        <v>53</v>
      </c>
      <c r="B2" t="s">
        <v>141</v>
      </c>
      <c r="C2" s="31">
        <v>425</v>
      </c>
      <c r="E2" t="s">
        <v>55</v>
      </c>
      <c r="F2">
        <v>0</v>
      </c>
      <c r="G2">
        <v>0</v>
      </c>
      <c r="H2">
        <v>0</v>
      </c>
      <c r="K2" t="s">
        <v>19</v>
      </c>
    </row>
    <row r="3" spans="1:11" x14ac:dyDescent="0.25">
      <c r="A3" t="s">
        <v>106</v>
      </c>
      <c r="C3" s="31">
        <v>0</v>
      </c>
      <c r="E3" t="s">
        <v>0</v>
      </c>
      <c r="F3">
        <v>0</v>
      </c>
      <c r="G3">
        <v>0</v>
      </c>
      <c r="H3">
        <v>0</v>
      </c>
      <c r="K3" t="s">
        <v>19</v>
      </c>
    </row>
    <row r="4" spans="1:11" x14ac:dyDescent="0.25">
      <c r="A4" t="s">
        <v>28</v>
      </c>
      <c r="B4" t="s">
        <v>142</v>
      </c>
      <c r="C4" s="31">
        <v>18</v>
      </c>
      <c r="E4" t="s">
        <v>37</v>
      </c>
      <c r="F4">
        <v>0</v>
      </c>
      <c r="G4">
        <v>0</v>
      </c>
      <c r="H4">
        <v>0</v>
      </c>
      <c r="K4" t="s">
        <v>19</v>
      </c>
    </row>
    <row r="5" spans="1:11" x14ac:dyDescent="0.25">
      <c r="A5" t="s">
        <v>66</v>
      </c>
      <c r="C5" s="31">
        <v>0</v>
      </c>
      <c r="E5" t="s">
        <v>0</v>
      </c>
      <c r="F5">
        <v>0</v>
      </c>
      <c r="G5">
        <v>0</v>
      </c>
      <c r="H5">
        <v>0</v>
      </c>
      <c r="K5" t="s">
        <v>19</v>
      </c>
    </row>
    <row r="6" spans="1:11" x14ac:dyDescent="0.25">
      <c r="A6" t="s">
        <v>118</v>
      </c>
      <c r="C6" s="31">
        <v>0</v>
      </c>
      <c r="E6" t="s">
        <v>0</v>
      </c>
      <c r="F6">
        <v>0</v>
      </c>
      <c r="G6">
        <v>0</v>
      </c>
      <c r="H6">
        <v>0</v>
      </c>
      <c r="K6" t="s">
        <v>17</v>
      </c>
    </row>
    <row r="7" spans="1:11" x14ac:dyDescent="0.25">
      <c r="A7" t="s">
        <v>67</v>
      </c>
      <c r="C7" s="31">
        <v>0</v>
      </c>
      <c r="E7" t="s">
        <v>0</v>
      </c>
      <c r="F7">
        <v>0</v>
      </c>
      <c r="G7">
        <v>0</v>
      </c>
      <c r="H7">
        <v>0</v>
      </c>
      <c r="K7" t="s">
        <v>19</v>
      </c>
    </row>
    <row r="8" spans="1:11" x14ac:dyDescent="0.25">
      <c r="A8" t="s">
        <v>96</v>
      </c>
      <c r="C8" s="31">
        <v>0</v>
      </c>
      <c r="E8" t="s">
        <v>0</v>
      </c>
      <c r="F8">
        <v>0</v>
      </c>
      <c r="G8">
        <v>0</v>
      </c>
      <c r="H8">
        <v>0</v>
      </c>
      <c r="K8" t="s">
        <v>17</v>
      </c>
    </row>
    <row r="9" spans="1:11" x14ac:dyDescent="0.25">
      <c r="A9" t="s">
        <v>112</v>
      </c>
      <c r="C9" s="31">
        <v>0</v>
      </c>
      <c r="E9" t="s">
        <v>0</v>
      </c>
      <c r="F9">
        <v>0</v>
      </c>
      <c r="G9">
        <v>0</v>
      </c>
      <c r="H9">
        <v>0</v>
      </c>
      <c r="K9" t="s">
        <v>19</v>
      </c>
    </row>
    <row r="10" spans="1:11" x14ac:dyDescent="0.25">
      <c r="A10" t="s">
        <v>107</v>
      </c>
      <c r="B10" t="s">
        <v>143</v>
      </c>
      <c r="C10" s="31">
        <v>1441</v>
      </c>
      <c r="E10" t="s">
        <v>0</v>
      </c>
      <c r="F10">
        <v>0</v>
      </c>
      <c r="G10">
        <v>0</v>
      </c>
      <c r="H10">
        <v>0</v>
      </c>
      <c r="K10" t="s">
        <v>19</v>
      </c>
    </row>
    <row r="11" spans="1:11" x14ac:dyDescent="0.25">
      <c r="A11" t="s">
        <v>108</v>
      </c>
      <c r="B11" t="s">
        <v>144</v>
      </c>
      <c r="C11" s="31">
        <v>628</v>
      </c>
      <c r="E11" t="s">
        <v>0</v>
      </c>
      <c r="F11">
        <v>0</v>
      </c>
      <c r="G11">
        <v>0</v>
      </c>
      <c r="H11">
        <v>0</v>
      </c>
      <c r="K11" t="s">
        <v>19</v>
      </c>
    </row>
    <row r="12" spans="1:11" x14ac:dyDescent="0.25">
      <c r="A12" t="s">
        <v>97</v>
      </c>
      <c r="B12" t="s">
        <v>147</v>
      </c>
      <c r="C12" s="31">
        <v>30</v>
      </c>
      <c r="E12" t="s">
        <v>0</v>
      </c>
      <c r="F12">
        <v>0</v>
      </c>
      <c r="G12">
        <v>0</v>
      </c>
      <c r="H12">
        <v>0</v>
      </c>
      <c r="K12" t="s">
        <v>19</v>
      </c>
    </row>
    <row r="13" spans="1:11" x14ac:dyDescent="0.25">
      <c r="A13" t="s">
        <v>275</v>
      </c>
      <c r="B13" t="s">
        <v>276</v>
      </c>
      <c r="C13" s="31">
        <v>450</v>
      </c>
      <c r="E13" t="s">
        <v>0</v>
      </c>
      <c r="F13">
        <v>0</v>
      </c>
      <c r="G13">
        <v>0</v>
      </c>
      <c r="H13">
        <v>0</v>
      </c>
      <c r="K13" t="s">
        <v>19</v>
      </c>
    </row>
    <row r="14" spans="1:11" x14ac:dyDescent="0.25">
      <c r="A14" t="s">
        <v>277</v>
      </c>
      <c r="B14" t="s">
        <v>278</v>
      </c>
      <c r="C14" s="31">
        <v>60</v>
      </c>
      <c r="E14" t="s">
        <v>0</v>
      </c>
      <c r="F14">
        <v>0</v>
      </c>
      <c r="G14">
        <v>0</v>
      </c>
      <c r="H14">
        <v>0</v>
      </c>
      <c r="K14" t="s">
        <v>19</v>
      </c>
    </row>
    <row r="15" spans="1:11" x14ac:dyDescent="0.25">
      <c r="A15" t="s">
        <v>279</v>
      </c>
      <c r="B15" t="s">
        <v>280</v>
      </c>
      <c r="C15" s="31">
        <v>195</v>
      </c>
      <c r="E15" t="s">
        <v>0</v>
      </c>
      <c r="F15">
        <v>0</v>
      </c>
      <c r="G15">
        <v>0</v>
      </c>
      <c r="H15">
        <v>0</v>
      </c>
      <c r="K15" t="s">
        <v>19</v>
      </c>
    </row>
    <row r="16" spans="1:11" x14ac:dyDescent="0.25">
      <c r="A16" t="s">
        <v>111</v>
      </c>
      <c r="C16" s="31">
        <v>0</v>
      </c>
      <c r="E16" t="s">
        <v>0</v>
      </c>
      <c r="F16">
        <v>0</v>
      </c>
      <c r="G16">
        <v>0</v>
      </c>
      <c r="H16">
        <v>0</v>
      </c>
      <c r="K16" t="s">
        <v>19</v>
      </c>
    </row>
    <row r="17" spans="1:11" x14ac:dyDescent="0.25">
      <c r="A17" t="s">
        <v>272</v>
      </c>
      <c r="B17" t="s">
        <v>274</v>
      </c>
      <c r="C17" s="31">
        <v>2900</v>
      </c>
      <c r="E17" t="s">
        <v>273</v>
      </c>
      <c r="F17">
        <v>0</v>
      </c>
      <c r="G17">
        <v>0</v>
      </c>
      <c r="H17">
        <v>0</v>
      </c>
      <c r="K17" t="s">
        <v>19</v>
      </c>
    </row>
    <row r="18" spans="1:11" x14ac:dyDescent="0.25">
      <c r="A18" t="s">
        <v>126</v>
      </c>
      <c r="B18" t="s">
        <v>269</v>
      </c>
      <c r="C18" s="31">
        <v>1350</v>
      </c>
      <c r="E18" t="s">
        <v>0</v>
      </c>
      <c r="F18">
        <v>0</v>
      </c>
      <c r="G18">
        <v>0</v>
      </c>
      <c r="H18">
        <v>0</v>
      </c>
      <c r="K18" t="s">
        <v>19</v>
      </c>
    </row>
    <row r="19" spans="1:11" x14ac:dyDescent="0.25">
      <c r="A19" t="s">
        <v>98</v>
      </c>
      <c r="B19" t="s">
        <v>148</v>
      </c>
      <c r="C19" s="31">
        <v>170</v>
      </c>
      <c r="E19" t="s">
        <v>0</v>
      </c>
      <c r="F19">
        <v>0</v>
      </c>
      <c r="G19">
        <v>0</v>
      </c>
      <c r="H19">
        <v>0</v>
      </c>
      <c r="K19" t="s">
        <v>19</v>
      </c>
    </row>
    <row r="20" spans="1:11" x14ac:dyDescent="0.25">
      <c r="A20" t="s">
        <v>99</v>
      </c>
      <c r="B20" t="s">
        <v>149</v>
      </c>
      <c r="C20" s="31">
        <v>30</v>
      </c>
      <c r="E20" t="s">
        <v>0</v>
      </c>
      <c r="F20">
        <v>0</v>
      </c>
      <c r="G20">
        <v>0</v>
      </c>
      <c r="H20">
        <v>0</v>
      </c>
      <c r="K20" t="s">
        <v>19</v>
      </c>
    </row>
    <row r="21" spans="1:11" x14ac:dyDescent="0.25">
      <c r="A21" t="s">
        <v>127</v>
      </c>
      <c r="B21" t="s">
        <v>270</v>
      </c>
      <c r="C21" s="31">
        <v>500</v>
      </c>
      <c r="E21" t="s">
        <v>0</v>
      </c>
      <c r="F21">
        <v>0</v>
      </c>
      <c r="G21">
        <v>0</v>
      </c>
      <c r="H21">
        <v>0</v>
      </c>
      <c r="K21" t="s">
        <v>19</v>
      </c>
    </row>
    <row r="22" spans="1:11" x14ac:dyDescent="0.25">
      <c r="A22" t="s">
        <v>109</v>
      </c>
      <c r="B22" t="s">
        <v>150</v>
      </c>
      <c r="C22" s="31">
        <v>280</v>
      </c>
      <c r="E22" t="s">
        <v>0</v>
      </c>
      <c r="F22">
        <v>0</v>
      </c>
      <c r="G22">
        <v>0</v>
      </c>
      <c r="H22">
        <v>0</v>
      </c>
      <c r="K22" t="s">
        <v>19</v>
      </c>
    </row>
    <row r="23" spans="1:11" x14ac:dyDescent="0.25">
      <c r="A23" t="s">
        <v>110</v>
      </c>
      <c r="B23" t="s">
        <v>271</v>
      </c>
      <c r="C23" s="31">
        <v>66</v>
      </c>
      <c r="E23" t="s">
        <v>0</v>
      </c>
      <c r="F23">
        <v>0</v>
      </c>
      <c r="G23">
        <v>0</v>
      </c>
      <c r="H23">
        <v>0</v>
      </c>
      <c r="K23" t="s">
        <v>19</v>
      </c>
    </row>
    <row r="24" spans="1:11" x14ac:dyDescent="0.25">
      <c r="A24" t="s">
        <v>68</v>
      </c>
      <c r="C24" s="31">
        <v>0</v>
      </c>
      <c r="E24" t="s">
        <v>0</v>
      </c>
      <c r="F24">
        <v>0</v>
      </c>
      <c r="G24">
        <v>0</v>
      </c>
      <c r="H24">
        <v>0</v>
      </c>
      <c r="K24" t="s">
        <v>17</v>
      </c>
    </row>
    <row r="25" spans="1:11" x14ac:dyDescent="0.25">
      <c r="A25" t="s">
        <v>69</v>
      </c>
      <c r="C25" s="31">
        <v>0</v>
      </c>
      <c r="E25" t="s">
        <v>0</v>
      </c>
      <c r="F25">
        <v>0</v>
      </c>
      <c r="G25">
        <v>0</v>
      </c>
      <c r="H25">
        <v>0</v>
      </c>
      <c r="K25" t="s">
        <v>17</v>
      </c>
    </row>
    <row r="26" spans="1:11" x14ac:dyDescent="0.25">
      <c r="A26" t="s">
        <v>70</v>
      </c>
      <c r="C26" s="31">
        <v>0</v>
      </c>
      <c r="E26" t="s">
        <v>0</v>
      </c>
      <c r="F26">
        <v>0</v>
      </c>
      <c r="G26">
        <v>0</v>
      </c>
      <c r="H26">
        <v>0</v>
      </c>
      <c r="K26" t="s">
        <v>19</v>
      </c>
    </row>
    <row r="27" spans="1:11" x14ac:dyDescent="0.25">
      <c r="A27" t="s">
        <v>71</v>
      </c>
      <c r="C27" s="31">
        <v>0</v>
      </c>
      <c r="E27" t="s">
        <v>0</v>
      </c>
      <c r="F27">
        <v>0</v>
      </c>
      <c r="G27">
        <v>0</v>
      </c>
      <c r="H27">
        <v>0</v>
      </c>
      <c r="K27" t="s">
        <v>19</v>
      </c>
    </row>
    <row r="28" spans="1:11" x14ac:dyDescent="0.25">
      <c r="A28" t="s">
        <v>113</v>
      </c>
      <c r="C28" s="31">
        <v>0</v>
      </c>
      <c r="E28" t="s">
        <v>0</v>
      </c>
      <c r="F28">
        <v>0</v>
      </c>
      <c r="G28">
        <v>0</v>
      </c>
      <c r="H28">
        <v>0</v>
      </c>
      <c r="K28" t="s">
        <v>19</v>
      </c>
    </row>
    <row r="29" spans="1:11" x14ac:dyDescent="0.25">
      <c r="A29" t="s">
        <v>72</v>
      </c>
      <c r="C29" s="31">
        <v>2500</v>
      </c>
      <c r="E29" t="s">
        <v>0</v>
      </c>
      <c r="F29">
        <v>0</v>
      </c>
      <c r="G29">
        <v>0</v>
      </c>
      <c r="H29">
        <v>0</v>
      </c>
      <c r="K29" t="s">
        <v>19</v>
      </c>
    </row>
    <row r="30" spans="1:11" x14ac:dyDescent="0.25">
      <c r="A30" t="s">
        <v>73</v>
      </c>
      <c r="C30" s="31">
        <v>0</v>
      </c>
      <c r="E30" t="s">
        <v>0</v>
      </c>
      <c r="F30">
        <v>0</v>
      </c>
      <c r="G30">
        <v>0</v>
      </c>
      <c r="H30">
        <v>0</v>
      </c>
      <c r="K30" t="s">
        <v>17</v>
      </c>
    </row>
    <row r="31" spans="1:11" x14ac:dyDescent="0.25">
      <c r="A31" t="s">
        <v>100</v>
      </c>
      <c r="C31" s="31">
        <v>0</v>
      </c>
      <c r="E31" t="s">
        <v>0</v>
      </c>
      <c r="F31">
        <v>0</v>
      </c>
      <c r="G31">
        <v>0</v>
      </c>
      <c r="H31">
        <v>0</v>
      </c>
      <c r="K31" t="s">
        <v>19</v>
      </c>
    </row>
    <row r="32" spans="1:11" x14ac:dyDescent="0.25">
      <c r="A32" t="s">
        <v>62</v>
      </c>
      <c r="C32" s="31">
        <v>0</v>
      </c>
      <c r="E32" t="s">
        <v>0</v>
      </c>
      <c r="F32">
        <v>0</v>
      </c>
      <c r="G32">
        <v>0</v>
      </c>
      <c r="H32">
        <v>0</v>
      </c>
      <c r="K32" t="s">
        <v>19</v>
      </c>
    </row>
    <row r="33" spans="1:11" x14ac:dyDescent="0.25">
      <c r="A33" t="s">
        <v>101</v>
      </c>
      <c r="C33" s="31">
        <v>0</v>
      </c>
      <c r="E33" t="s">
        <v>0</v>
      </c>
      <c r="F33">
        <v>0</v>
      </c>
      <c r="G33">
        <v>0</v>
      </c>
      <c r="H33">
        <v>0</v>
      </c>
      <c r="K33" t="s">
        <v>19</v>
      </c>
    </row>
    <row r="34" spans="1:11" x14ac:dyDescent="0.25">
      <c r="A34" t="s">
        <v>102</v>
      </c>
      <c r="C34" s="31">
        <v>0</v>
      </c>
      <c r="E34" t="s">
        <v>0</v>
      </c>
      <c r="F34">
        <v>0</v>
      </c>
      <c r="G34">
        <v>0</v>
      </c>
      <c r="H34">
        <v>0</v>
      </c>
      <c r="K34" t="s">
        <v>19</v>
      </c>
    </row>
    <row r="35" spans="1:11" x14ac:dyDescent="0.25">
      <c r="A35" t="s">
        <v>63</v>
      </c>
      <c r="C35" s="31">
        <v>0</v>
      </c>
      <c r="E35" t="s">
        <v>0</v>
      </c>
      <c r="F35">
        <v>0</v>
      </c>
      <c r="G35">
        <v>0</v>
      </c>
      <c r="H35">
        <v>0</v>
      </c>
      <c r="K35" t="s">
        <v>19</v>
      </c>
    </row>
    <row r="36" spans="1:11" x14ac:dyDescent="0.25">
      <c r="A36" t="s">
        <v>64</v>
      </c>
      <c r="C36" s="31">
        <v>8.9999999999999993E-3</v>
      </c>
      <c r="E36" t="s">
        <v>0</v>
      </c>
      <c r="F36">
        <v>0</v>
      </c>
      <c r="G36">
        <v>0</v>
      </c>
      <c r="H36">
        <v>0</v>
      </c>
      <c r="K36" t="s">
        <v>19</v>
      </c>
    </row>
    <row r="37" spans="1:11" x14ac:dyDescent="0.25">
      <c r="A37" t="s">
        <v>216</v>
      </c>
      <c r="C37" s="31"/>
    </row>
    <row r="38" spans="1:11" x14ac:dyDescent="0.25">
      <c r="A38" t="s">
        <v>103</v>
      </c>
      <c r="C38" s="31">
        <v>0</v>
      </c>
      <c r="E38" t="s">
        <v>0</v>
      </c>
      <c r="F38">
        <v>0</v>
      </c>
      <c r="G38">
        <v>0</v>
      </c>
      <c r="H38">
        <v>0</v>
      </c>
      <c r="K38" t="s">
        <v>19</v>
      </c>
    </row>
    <row r="39" spans="1:11" x14ac:dyDescent="0.25">
      <c r="A39" t="s">
        <v>104</v>
      </c>
      <c r="C39" s="31">
        <v>916.5</v>
      </c>
      <c r="E39" t="s">
        <v>0</v>
      </c>
      <c r="F39">
        <v>0</v>
      </c>
      <c r="G39">
        <v>0</v>
      </c>
      <c r="H39">
        <v>0</v>
      </c>
      <c r="K39" t="s">
        <v>19</v>
      </c>
    </row>
    <row r="40" spans="1:11" x14ac:dyDescent="0.25">
      <c r="A40" t="s">
        <v>74</v>
      </c>
      <c r="C40" s="31">
        <v>0</v>
      </c>
      <c r="E40" t="s">
        <v>0</v>
      </c>
      <c r="F40">
        <v>0</v>
      </c>
      <c r="G40">
        <v>0</v>
      </c>
      <c r="H40">
        <v>0</v>
      </c>
      <c r="K40" t="s">
        <v>19</v>
      </c>
    </row>
    <row r="41" spans="1:11" x14ac:dyDescent="0.25">
      <c r="A41" t="s">
        <v>217</v>
      </c>
      <c r="C41" s="31">
        <v>0</v>
      </c>
      <c r="E41" t="s">
        <v>0</v>
      </c>
      <c r="F41">
        <v>0</v>
      </c>
      <c r="G41">
        <v>0</v>
      </c>
      <c r="H41">
        <v>0</v>
      </c>
      <c r="K41" t="s">
        <v>19</v>
      </c>
    </row>
    <row r="42" spans="1:11" x14ac:dyDescent="0.25">
      <c r="A42" t="s">
        <v>218</v>
      </c>
      <c r="C42" s="31">
        <v>0</v>
      </c>
      <c r="E42" t="s">
        <v>0</v>
      </c>
      <c r="F42">
        <v>0</v>
      </c>
      <c r="G42">
        <v>0</v>
      </c>
      <c r="H42">
        <v>0</v>
      </c>
      <c r="K42" t="s">
        <v>19</v>
      </c>
    </row>
    <row r="43" spans="1:11" x14ac:dyDescent="0.25">
      <c r="A43" t="s">
        <v>75</v>
      </c>
      <c r="C43" s="31">
        <v>0</v>
      </c>
      <c r="E43" t="s">
        <v>0</v>
      </c>
      <c r="F43">
        <v>0</v>
      </c>
      <c r="G43">
        <v>0</v>
      </c>
      <c r="H43">
        <v>0</v>
      </c>
      <c r="K43" t="s">
        <v>19</v>
      </c>
    </row>
    <row r="44" spans="1:11" x14ac:dyDescent="0.25">
      <c r="A44" t="s">
        <v>76</v>
      </c>
      <c r="C44" s="31">
        <v>0</v>
      </c>
      <c r="E44" t="s">
        <v>0</v>
      </c>
      <c r="F44">
        <v>0</v>
      </c>
      <c r="G44">
        <v>0</v>
      </c>
      <c r="H44">
        <v>0</v>
      </c>
      <c r="K44" t="s">
        <v>19</v>
      </c>
    </row>
    <row r="45" spans="1:11" x14ac:dyDescent="0.25">
      <c r="A45" t="s">
        <v>77</v>
      </c>
      <c r="C45" s="31">
        <v>0</v>
      </c>
      <c r="E45" t="s">
        <v>0</v>
      </c>
      <c r="F45">
        <v>0</v>
      </c>
      <c r="G45">
        <v>0</v>
      </c>
      <c r="H45">
        <v>0</v>
      </c>
      <c r="K45" t="s">
        <v>19</v>
      </c>
    </row>
    <row r="46" spans="1:11" x14ac:dyDescent="0.25">
      <c r="A46" t="s">
        <v>78</v>
      </c>
      <c r="B46" t="s">
        <v>78</v>
      </c>
      <c r="C46" s="31">
        <v>1084</v>
      </c>
      <c r="E46" t="s">
        <v>0</v>
      </c>
      <c r="F46">
        <v>0</v>
      </c>
      <c r="G46">
        <v>0</v>
      </c>
      <c r="H46">
        <v>0</v>
      </c>
      <c r="K46" t="s">
        <v>19</v>
      </c>
    </row>
    <row r="47" spans="1:11" x14ac:dyDescent="0.25">
      <c r="A47" t="s">
        <v>79</v>
      </c>
      <c r="B47" t="s">
        <v>79</v>
      </c>
      <c r="C47" s="31">
        <v>1673</v>
      </c>
      <c r="E47" t="s">
        <v>0</v>
      </c>
      <c r="F47">
        <v>0</v>
      </c>
      <c r="G47">
        <v>0</v>
      </c>
      <c r="H47">
        <v>0</v>
      </c>
      <c r="K47" t="s">
        <v>19</v>
      </c>
    </row>
    <row r="48" spans="1:11" x14ac:dyDescent="0.25">
      <c r="A48" t="s">
        <v>80</v>
      </c>
      <c r="B48" t="s">
        <v>80</v>
      </c>
      <c r="C48" s="31">
        <v>2069</v>
      </c>
      <c r="E48" t="s">
        <v>0</v>
      </c>
      <c r="F48">
        <v>0</v>
      </c>
      <c r="G48">
        <v>0</v>
      </c>
      <c r="H48">
        <v>0</v>
      </c>
      <c r="K48" t="s">
        <v>19</v>
      </c>
    </row>
    <row r="49" spans="1:11" x14ac:dyDescent="0.25">
      <c r="A49" t="s">
        <v>81</v>
      </c>
      <c r="B49" t="s">
        <v>81</v>
      </c>
      <c r="C49" s="31">
        <v>3742</v>
      </c>
      <c r="E49" t="s">
        <v>0</v>
      </c>
      <c r="F49">
        <v>0</v>
      </c>
      <c r="G49">
        <v>0</v>
      </c>
      <c r="H49">
        <v>0</v>
      </c>
      <c r="K49" t="s">
        <v>19</v>
      </c>
    </row>
    <row r="50" spans="1:11" x14ac:dyDescent="0.25">
      <c r="A50" t="s">
        <v>82</v>
      </c>
      <c r="B50" t="s">
        <v>82</v>
      </c>
      <c r="C50" s="31">
        <v>4407</v>
      </c>
      <c r="E50" t="s">
        <v>0</v>
      </c>
      <c r="F50">
        <v>0</v>
      </c>
      <c r="G50">
        <v>0</v>
      </c>
      <c r="H50">
        <v>0</v>
      </c>
      <c r="K50" t="s">
        <v>19</v>
      </c>
    </row>
    <row r="51" spans="1:11" x14ac:dyDescent="0.25">
      <c r="A51" t="s">
        <v>83</v>
      </c>
      <c r="B51" t="s">
        <v>83</v>
      </c>
      <c r="C51" s="31">
        <v>7387</v>
      </c>
      <c r="E51" t="s">
        <v>0</v>
      </c>
      <c r="F51">
        <v>0</v>
      </c>
      <c r="G51">
        <v>0</v>
      </c>
      <c r="H51">
        <v>0</v>
      </c>
      <c r="K51" t="s">
        <v>19</v>
      </c>
    </row>
    <row r="52" spans="1:11" x14ac:dyDescent="0.25">
      <c r="A52" t="s">
        <v>119</v>
      </c>
      <c r="B52" t="s">
        <v>119</v>
      </c>
      <c r="C52" s="31">
        <v>557</v>
      </c>
      <c r="E52" t="s">
        <v>0</v>
      </c>
      <c r="F52">
        <v>0</v>
      </c>
      <c r="G52">
        <v>0</v>
      </c>
      <c r="H52">
        <v>0</v>
      </c>
      <c r="K52" t="s">
        <v>19</v>
      </c>
    </row>
    <row r="53" spans="1:11" x14ac:dyDescent="0.25">
      <c r="A53" t="s">
        <v>84</v>
      </c>
      <c r="B53" t="s">
        <v>84</v>
      </c>
      <c r="C53" s="31">
        <v>743</v>
      </c>
      <c r="E53" t="s">
        <v>0</v>
      </c>
      <c r="F53">
        <v>0</v>
      </c>
      <c r="G53">
        <v>0</v>
      </c>
      <c r="H53">
        <v>0</v>
      </c>
      <c r="K53" t="s">
        <v>19</v>
      </c>
    </row>
    <row r="54" spans="1:11" x14ac:dyDescent="0.25">
      <c r="A54" t="s">
        <v>45</v>
      </c>
      <c r="C54" s="31">
        <v>54</v>
      </c>
      <c r="D54" s="4">
        <v>19</v>
      </c>
      <c r="E54" s="5" t="s">
        <v>36</v>
      </c>
      <c r="F54" s="5">
        <v>0</v>
      </c>
      <c r="G54" s="5">
        <v>0</v>
      </c>
      <c r="H54" s="5">
        <v>0</v>
      </c>
      <c r="I54" s="5"/>
      <c r="J54" s="5"/>
      <c r="K54" t="s">
        <v>16</v>
      </c>
    </row>
    <row r="55" spans="1:11" x14ac:dyDescent="0.25">
      <c r="A55" t="s">
        <v>46</v>
      </c>
      <c r="C55" s="31">
        <v>38</v>
      </c>
      <c r="D55" s="4">
        <v>16</v>
      </c>
      <c r="E55" s="5" t="s">
        <v>36</v>
      </c>
      <c r="F55" s="5">
        <v>0</v>
      </c>
      <c r="G55" s="5">
        <v>0</v>
      </c>
      <c r="H55" s="5">
        <v>0</v>
      </c>
      <c r="K55" t="s">
        <v>16</v>
      </c>
    </row>
    <row r="56" spans="1:11" x14ac:dyDescent="0.25">
      <c r="A56" t="s">
        <v>47</v>
      </c>
      <c r="C56" s="31">
        <v>43</v>
      </c>
      <c r="D56" s="4">
        <v>32</v>
      </c>
      <c r="E56" s="5" t="s">
        <v>36</v>
      </c>
      <c r="F56" s="5">
        <v>0</v>
      </c>
      <c r="G56" s="5">
        <v>0</v>
      </c>
      <c r="H56" s="5">
        <v>0</v>
      </c>
      <c r="I56" s="5"/>
      <c r="J56" s="5"/>
      <c r="K56" t="s">
        <v>16</v>
      </c>
    </row>
    <row r="57" spans="1:11" x14ac:dyDescent="0.25">
      <c r="A57" t="s">
        <v>48</v>
      </c>
      <c r="C57" s="31">
        <v>85</v>
      </c>
      <c r="D57" s="4">
        <v>32</v>
      </c>
      <c r="E57" s="5" t="s">
        <v>36</v>
      </c>
      <c r="F57" s="5">
        <v>0</v>
      </c>
      <c r="G57" s="5">
        <v>0</v>
      </c>
      <c r="H57" s="5">
        <v>0</v>
      </c>
      <c r="I57" s="5"/>
      <c r="J57" s="5"/>
      <c r="K57" t="s">
        <v>16</v>
      </c>
    </row>
    <row r="58" spans="1:11" x14ac:dyDescent="0.25">
      <c r="A58" t="s">
        <v>49</v>
      </c>
      <c r="C58" s="31">
        <v>40</v>
      </c>
      <c r="D58" s="4">
        <v>41</v>
      </c>
      <c r="E58" s="5" t="s">
        <v>36</v>
      </c>
      <c r="F58" s="5">
        <v>0</v>
      </c>
      <c r="G58" s="5">
        <v>0</v>
      </c>
      <c r="H58" s="5">
        <v>0</v>
      </c>
      <c r="I58" s="5"/>
      <c r="J58" s="5"/>
      <c r="K58" t="s">
        <v>16</v>
      </c>
    </row>
    <row r="59" spans="1:11" x14ac:dyDescent="0.25">
      <c r="A59" t="s">
        <v>59</v>
      </c>
      <c r="C59" s="31">
        <v>0</v>
      </c>
      <c r="E59" s="5" t="s">
        <v>0</v>
      </c>
      <c r="F59">
        <v>0</v>
      </c>
      <c r="G59">
        <v>0</v>
      </c>
      <c r="H59">
        <v>0</v>
      </c>
      <c r="K59" t="s">
        <v>19</v>
      </c>
    </row>
    <row r="60" spans="1:11" x14ac:dyDescent="0.25">
      <c r="A60" t="s">
        <v>41</v>
      </c>
      <c r="C60" s="31">
        <f>'Quote Worksheet'!$D$4</f>
        <v>1.25</v>
      </c>
      <c r="D60" s="4"/>
      <c r="E60" s="5" t="s">
        <v>0</v>
      </c>
      <c r="F60" s="5">
        <v>1</v>
      </c>
      <c r="G60" s="5">
        <v>1</v>
      </c>
      <c r="H60" s="5">
        <v>1</v>
      </c>
      <c r="I60">
        <v>0.41666999999999998</v>
      </c>
      <c r="K60" t="s">
        <v>19</v>
      </c>
    </row>
    <row r="61" spans="1:11" x14ac:dyDescent="0.25">
      <c r="A61" t="s">
        <v>243</v>
      </c>
      <c r="C61" s="31">
        <f>'Quote Worksheet'!$D$4+0.15</f>
        <v>1.4</v>
      </c>
      <c r="D61" s="4"/>
      <c r="E61" s="5" t="s">
        <v>0</v>
      </c>
      <c r="F61" s="5">
        <v>1</v>
      </c>
      <c r="G61" s="5">
        <v>1</v>
      </c>
      <c r="H61" s="5">
        <v>1</v>
      </c>
      <c r="I61">
        <v>0.41666999999999998</v>
      </c>
      <c r="K61" t="s">
        <v>19</v>
      </c>
    </row>
    <row r="62" spans="1:11" x14ac:dyDescent="0.25">
      <c r="A62" t="s">
        <v>58</v>
      </c>
      <c r="C62" s="31">
        <v>0</v>
      </c>
      <c r="E62" s="5" t="s">
        <v>0</v>
      </c>
      <c r="F62">
        <v>0</v>
      </c>
      <c r="G62">
        <v>0</v>
      </c>
      <c r="H62">
        <v>0</v>
      </c>
      <c r="K62" t="s">
        <v>19</v>
      </c>
    </row>
    <row r="63" spans="1:11" x14ac:dyDescent="0.25">
      <c r="A63" t="s">
        <v>42</v>
      </c>
      <c r="C63" s="32">
        <f>'Quote Worksheet'!$D$5</f>
        <v>1.75</v>
      </c>
      <c r="D63" s="4"/>
      <c r="E63" s="5" t="s">
        <v>0</v>
      </c>
      <c r="F63" s="5">
        <v>1</v>
      </c>
      <c r="G63" s="5">
        <v>1</v>
      </c>
      <c r="H63" s="5">
        <v>1</v>
      </c>
      <c r="I63">
        <v>0.41666999999999998</v>
      </c>
      <c r="K63" t="s">
        <v>19</v>
      </c>
    </row>
    <row r="64" spans="1:11" x14ac:dyDescent="0.25">
      <c r="A64" t="s">
        <v>85</v>
      </c>
      <c r="C64" s="31">
        <v>0</v>
      </c>
      <c r="E64" s="5" t="s">
        <v>0</v>
      </c>
      <c r="F64">
        <v>0</v>
      </c>
      <c r="G64">
        <v>0</v>
      </c>
      <c r="H64">
        <v>0</v>
      </c>
      <c r="K64" t="s">
        <v>19</v>
      </c>
    </row>
    <row r="65" spans="1:11" x14ac:dyDescent="0.25">
      <c r="A65" t="s">
        <v>219</v>
      </c>
      <c r="C65" s="31">
        <v>0</v>
      </c>
      <c r="E65" s="5" t="s">
        <v>0</v>
      </c>
      <c r="F65">
        <v>0</v>
      </c>
      <c r="G65">
        <v>0</v>
      </c>
      <c r="H65">
        <v>0</v>
      </c>
      <c r="K65" t="s">
        <v>19</v>
      </c>
    </row>
    <row r="66" spans="1:11" x14ac:dyDescent="0.25">
      <c r="A66" t="s">
        <v>86</v>
      </c>
      <c r="C66" s="31">
        <v>0</v>
      </c>
      <c r="E66" s="5" t="s">
        <v>0</v>
      </c>
      <c r="F66">
        <v>0</v>
      </c>
      <c r="G66">
        <v>0</v>
      </c>
      <c r="H66">
        <v>0</v>
      </c>
      <c r="K66" t="s">
        <v>19</v>
      </c>
    </row>
    <row r="67" spans="1:11" x14ac:dyDescent="0.25">
      <c r="A67" t="s">
        <v>87</v>
      </c>
      <c r="B67" t="s">
        <v>87</v>
      </c>
      <c r="C67" s="31">
        <v>11625</v>
      </c>
      <c r="E67" s="5" t="s">
        <v>0</v>
      </c>
      <c r="F67">
        <v>0</v>
      </c>
      <c r="G67">
        <v>0</v>
      </c>
      <c r="H67">
        <v>0</v>
      </c>
      <c r="K67" t="s">
        <v>19</v>
      </c>
    </row>
    <row r="68" spans="1:11" x14ac:dyDescent="0.25">
      <c r="A68" t="s">
        <v>88</v>
      </c>
      <c r="B68" t="s">
        <v>88</v>
      </c>
      <c r="C68" s="31">
        <v>15016</v>
      </c>
      <c r="E68" s="5" t="s">
        <v>0</v>
      </c>
      <c r="F68">
        <v>0</v>
      </c>
      <c r="G68">
        <v>0</v>
      </c>
      <c r="H68">
        <v>0</v>
      </c>
      <c r="K68" t="s">
        <v>19</v>
      </c>
    </row>
    <row r="69" spans="1:11" x14ac:dyDescent="0.25">
      <c r="A69" t="s">
        <v>89</v>
      </c>
      <c r="B69" t="s">
        <v>89</v>
      </c>
      <c r="C69" s="31">
        <v>22574</v>
      </c>
      <c r="E69" s="5" t="s">
        <v>0</v>
      </c>
      <c r="F69">
        <v>0</v>
      </c>
      <c r="G69">
        <v>0</v>
      </c>
      <c r="H69">
        <v>0</v>
      </c>
      <c r="K69" t="s">
        <v>19</v>
      </c>
    </row>
    <row r="70" spans="1:11" x14ac:dyDescent="0.25">
      <c r="A70" t="s">
        <v>281</v>
      </c>
      <c r="B70" t="s">
        <v>281</v>
      </c>
      <c r="C70" s="31">
        <v>19493</v>
      </c>
      <c r="E70" s="5" t="s">
        <v>0</v>
      </c>
      <c r="F70">
        <v>0</v>
      </c>
      <c r="G70">
        <v>0</v>
      </c>
      <c r="H70">
        <v>0</v>
      </c>
      <c r="K70" t="s">
        <v>19</v>
      </c>
    </row>
    <row r="71" spans="1:11" x14ac:dyDescent="0.25">
      <c r="A71" t="s">
        <v>90</v>
      </c>
      <c r="B71" t="s">
        <v>90</v>
      </c>
      <c r="C71" s="31">
        <v>25198</v>
      </c>
      <c r="E71" s="5" t="s">
        <v>0</v>
      </c>
      <c r="F71">
        <v>0</v>
      </c>
      <c r="G71">
        <v>0</v>
      </c>
      <c r="H71">
        <v>0</v>
      </c>
      <c r="J71">
        <v>150</v>
      </c>
      <c r="K71" t="s">
        <v>19</v>
      </c>
    </row>
    <row r="72" spans="1:11" x14ac:dyDescent="0.25">
      <c r="A72" t="s">
        <v>91</v>
      </c>
      <c r="B72" t="s">
        <v>91</v>
      </c>
      <c r="C72" s="31">
        <v>8246</v>
      </c>
      <c r="E72" s="5" t="s">
        <v>0</v>
      </c>
      <c r="F72">
        <v>0</v>
      </c>
      <c r="G72">
        <v>0</v>
      </c>
      <c r="H72">
        <v>0</v>
      </c>
      <c r="K72" t="s">
        <v>19</v>
      </c>
    </row>
    <row r="73" spans="1:11" x14ac:dyDescent="0.25">
      <c r="A73" t="s">
        <v>50</v>
      </c>
      <c r="C73" s="31">
        <v>30</v>
      </c>
      <c r="E73" s="5" t="s">
        <v>0</v>
      </c>
      <c r="F73" s="5">
        <v>0</v>
      </c>
      <c r="G73" s="5">
        <v>0</v>
      </c>
      <c r="H73" s="5">
        <v>0</v>
      </c>
      <c r="K73" t="s">
        <v>19</v>
      </c>
    </row>
    <row r="74" spans="1:11" x14ac:dyDescent="0.25">
      <c r="A74" t="s">
        <v>92</v>
      </c>
      <c r="C74" s="31">
        <v>500</v>
      </c>
      <c r="E74" s="5" t="s">
        <v>0</v>
      </c>
      <c r="F74">
        <v>0</v>
      </c>
      <c r="G74">
        <v>0</v>
      </c>
      <c r="H74">
        <v>0</v>
      </c>
      <c r="K74" t="s">
        <v>19</v>
      </c>
    </row>
    <row r="75" spans="1:11" x14ac:dyDescent="0.25">
      <c r="A75" t="s">
        <v>93</v>
      </c>
      <c r="C75" s="31">
        <v>0</v>
      </c>
      <c r="E75" s="5" t="s">
        <v>0</v>
      </c>
      <c r="F75">
        <v>0</v>
      </c>
      <c r="G75">
        <v>0</v>
      </c>
      <c r="H75">
        <v>0</v>
      </c>
      <c r="K75" t="s">
        <v>19</v>
      </c>
    </row>
    <row r="76" spans="1:11" x14ac:dyDescent="0.25">
      <c r="A76" t="s">
        <v>44</v>
      </c>
      <c r="B76" t="s">
        <v>44</v>
      </c>
      <c r="C76" s="31">
        <v>65</v>
      </c>
      <c r="E76" s="5" t="s">
        <v>0</v>
      </c>
      <c r="F76" s="5">
        <v>0</v>
      </c>
      <c r="G76" s="5">
        <v>0</v>
      </c>
      <c r="H76" s="5">
        <v>0</v>
      </c>
      <c r="I76" s="5">
        <v>0</v>
      </c>
      <c r="J76" s="5">
        <v>50</v>
      </c>
      <c r="K76" t="s">
        <v>19</v>
      </c>
    </row>
    <row r="77" spans="1:11" x14ac:dyDescent="0.25">
      <c r="A77" t="s">
        <v>29</v>
      </c>
      <c r="B77" t="s">
        <v>29</v>
      </c>
      <c r="C77" s="31">
        <v>65</v>
      </c>
      <c r="E77" s="5" t="s">
        <v>0</v>
      </c>
      <c r="F77" s="5">
        <v>0</v>
      </c>
      <c r="G77" s="5">
        <v>0</v>
      </c>
      <c r="H77" s="5">
        <v>0</v>
      </c>
      <c r="I77" s="5">
        <v>0</v>
      </c>
      <c r="J77" s="5">
        <v>50</v>
      </c>
      <c r="K77" t="s">
        <v>19</v>
      </c>
    </row>
    <row r="78" spans="1:11" x14ac:dyDescent="0.25">
      <c r="A78" t="s">
        <v>43</v>
      </c>
      <c r="B78" t="s">
        <v>43</v>
      </c>
      <c r="C78" s="31">
        <v>65</v>
      </c>
      <c r="E78" s="5" t="s">
        <v>0</v>
      </c>
      <c r="F78" s="5">
        <v>0</v>
      </c>
      <c r="G78" s="5">
        <v>0</v>
      </c>
      <c r="H78" s="5">
        <v>0</v>
      </c>
      <c r="I78" s="5">
        <v>0</v>
      </c>
      <c r="J78" s="5">
        <v>50</v>
      </c>
      <c r="K78" t="s">
        <v>19</v>
      </c>
    </row>
    <row r="79" spans="1:11" x14ac:dyDescent="0.25">
      <c r="A79" t="s">
        <v>120</v>
      </c>
      <c r="C79" s="31">
        <v>65</v>
      </c>
      <c r="E79" s="5" t="s">
        <v>0</v>
      </c>
      <c r="F79">
        <v>0</v>
      </c>
      <c r="G79">
        <v>0</v>
      </c>
      <c r="H79">
        <v>0</v>
      </c>
      <c r="K79" t="s">
        <v>19</v>
      </c>
    </row>
    <row r="80" spans="1:11" x14ac:dyDescent="0.25">
      <c r="A80" t="s">
        <v>265</v>
      </c>
      <c r="B80" t="s">
        <v>264</v>
      </c>
      <c r="C80" s="31">
        <v>18</v>
      </c>
      <c r="E80" s="5" t="s">
        <v>0</v>
      </c>
      <c r="F80" s="5">
        <v>0</v>
      </c>
      <c r="G80" s="5">
        <v>0</v>
      </c>
      <c r="H80" s="5">
        <v>0</v>
      </c>
      <c r="K80" t="s">
        <v>19</v>
      </c>
    </row>
    <row r="81" spans="1:11" x14ac:dyDescent="0.25">
      <c r="A81" t="s">
        <v>266</v>
      </c>
      <c r="B81" t="s">
        <v>267</v>
      </c>
      <c r="C81" s="31">
        <v>14</v>
      </c>
      <c r="E81" s="5" t="s">
        <v>0</v>
      </c>
      <c r="F81" s="5">
        <v>0</v>
      </c>
      <c r="G81" s="5">
        <v>0</v>
      </c>
      <c r="H81" s="5">
        <v>0</v>
      </c>
      <c r="K81" t="s">
        <v>19</v>
      </c>
    </row>
    <row r="82" spans="1:11" x14ac:dyDescent="0.25">
      <c r="A82" t="s">
        <v>121</v>
      </c>
      <c r="C82" s="31">
        <v>87</v>
      </c>
      <c r="E82" s="5" t="s">
        <v>0</v>
      </c>
      <c r="F82" s="5">
        <v>0</v>
      </c>
      <c r="G82" s="5">
        <v>0</v>
      </c>
      <c r="H82" s="5">
        <v>0</v>
      </c>
      <c r="K82" t="s">
        <v>19</v>
      </c>
    </row>
    <row r="83" spans="1:11" x14ac:dyDescent="0.25">
      <c r="A83" t="s">
        <v>239</v>
      </c>
      <c r="C83" s="31">
        <v>1.25</v>
      </c>
      <c r="E83" s="5" t="s">
        <v>0</v>
      </c>
      <c r="F83" s="5">
        <v>48</v>
      </c>
      <c r="G83" s="5">
        <v>96</v>
      </c>
      <c r="H83" s="5">
        <v>0.5</v>
      </c>
      <c r="I83" s="5">
        <v>2.0138799999999998E-2</v>
      </c>
      <c r="K83" t="s">
        <v>19</v>
      </c>
    </row>
    <row r="84" spans="1:11" x14ac:dyDescent="0.25">
      <c r="A84" t="s">
        <v>240</v>
      </c>
      <c r="C84" s="31">
        <v>1.25</v>
      </c>
      <c r="E84" s="5" t="s">
        <v>0</v>
      </c>
      <c r="F84" s="5">
        <v>48</v>
      </c>
      <c r="G84" s="5">
        <v>96</v>
      </c>
      <c r="H84" s="5">
        <v>0.75</v>
      </c>
      <c r="I84" s="5">
        <v>2.0138799999999998E-2</v>
      </c>
      <c r="K84" t="s">
        <v>19</v>
      </c>
    </row>
    <row r="85" spans="1:11" x14ac:dyDescent="0.25">
      <c r="A85" t="s">
        <v>25</v>
      </c>
      <c r="C85" s="31">
        <f>'Quote Worksheet'!$D$7/(F85*G85*H85*I85)</f>
        <v>4.7176932367149753</v>
      </c>
      <c r="D85" s="4"/>
      <c r="E85" s="5" t="s">
        <v>0</v>
      </c>
      <c r="F85" s="5">
        <v>48</v>
      </c>
      <c r="G85" s="5">
        <v>96</v>
      </c>
      <c r="H85" s="5">
        <v>1</v>
      </c>
      <c r="I85">
        <v>3.9100000000000003E-2</v>
      </c>
      <c r="K85" t="s">
        <v>19</v>
      </c>
    </row>
    <row r="86" spans="1:11" x14ac:dyDescent="0.25">
      <c r="A86" t="s">
        <v>122</v>
      </c>
      <c r="C86" s="31">
        <f>'Quote Worksheet'!$D$8/(F86*G86*H86*I86)</f>
        <v>1.9425795680591074</v>
      </c>
      <c r="D86" s="4"/>
      <c r="E86" s="5" t="s">
        <v>0</v>
      </c>
      <c r="F86" s="5">
        <v>48</v>
      </c>
      <c r="G86" s="5">
        <v>96</v>
      </c>
      <c r="H86" s="5">
        <v>1</v>
      </c>
      <c r="I86">
        <v>3.9100000000000003E-2</v>
      </c>
      <c r="K86" t="s">
        <v>19</v>
      </c>
    </row>
    <row r="87" spans="1:11" x14ac:dyDescent="0.25">
      <c r="A87" t="s">
        <v>65</v>
      </c>
      <c r="C87" s="31">
        <v>0</v>
      </c>
      <c r="E87" s="5" t="s">
        <v>134</v>
      </c>
      <c r="F87" s="5">
        <v>0</v>
      </c>
      <c r="G87" s="5">
        <v>0</v>
      </c>
      <c r="H87" s="5">
        <v>0</v>
      </c>
      <c r="K87" t="s">
        <v>19</v>
      </c>
    </row>
    <row r="88" spans="1:11" x14ac:dyDescent="0.25">
      <c r="A88" t="s">
        <v>204</v>
      </c>
      <c r="B88" t="s">
        <v>213</v>
      </c>
      <c r="C88" s="31">
        <v>0.22</v>
      </c>
      <c r="E88" s="5" t="s">
        <v>0</v>
      </c>
      <c r="F88" s="5">
        <v>48</v>
      </c>
      <c r="G88" s="5">
        <v>120</v>
      </c>
      <c r="H88" s="5">
        <v>0.5</v>
      </c>
      <c r="I88" s="5">
        <v>2.9170000000000001E-2</v>
      </c>
      <c r="K88" t="s">
        <v>19</v>
      </c>
    </row>
    <row r="89" spans="1:11" x14ac:dyDescent="0.25">
      <c r="A89" t="s">
        <v>205</v>
      </c>
      <c r="B89" t="s">
        <v>212</v>
      </c>
      <c r="C89" s="31">
        <v>0.22</v>
      </c>
      <c r="E89" s="5" t="s">
        <v>0</v>
      </c>
      <c r="F89" s="5">
        <v>48</v>
      </c>
      <c r="G89" s="5">
        <v>144</v>
      </c>
      <c r="H89" s="5">
        <v>0.5</v>
      </c>
      <c r="I89" s="5">
        <v>2.9170000000000001E-2</v>
      </c>
      <c r="K89" t="s">
        <v>19</v>
      </c>
    </row>
    <row r="90" spans="1:11" x14ac:dyDescent="0.25">
      <c r="A90" t="s">
        <v>202</v>
      </c>
      <c r="B90" t="s">
        <v>214</v>
      </c>
      <c r="C90" s="31">
        <v>0.22</v>
      </c>
      <c r="E90" s="5" t="s">
        <v>0</v>
      </c>
      <c r="F90" s="5">
        <v>48</v>
      </c>
      <c r="G90" s="5">
        <v>96</v>
      </c>
      <c r="H90" s="5">
        <v>0.5</v>
      </c>
      <c r="I90" s="5">
        <v>2.9170000000000001E-2</v>
      </c>
      <c r="K90" t="s">
        <v>19</v>
      </c>
    </row>
    <row r="91" spans="1:11" x14ac:dyDescent="0.25">
      <c r="A91" t="s">
        <v>203</v>
      </c>
      <c r="B91" t="s">
        <v>215</v>
      </c>
      <c r="C91" s="31">
        <v>0.22</v>
      </c>
      <c r="E91" s="5" t="s">
        <v>0</v>
      </c>
      <c r="F91" s="5">
        <v>48</v>
      </c>
      <c r="G91" s="5">
        <v>108</v>
      </c>
      <c r="H91" s="5">
        <v>0.5</v>
      </c>
      <c r="I91" s="5">
        <v>2.9170000000000001E-2</v>
      </c>
      <c r="K91" t="s">
        <v>19</v>
      </c>
    </row>
    <row r="92" spans="1:11" x14ac:dyDescent="0.25">
      <c r="A92" t="s">
        <v>54</v>
      </c>
      <c r="B92" t="s">
        <v>208</v>
      </c>
      <c r="C92" s="31">
        <v>0.27</v>
      </c>
      <c r="E92" s="5" t="s">
        <v>0</v>
      </c>
      <c r="F92" s="5">
        <v>48</v>
      </c>
      <c r="G92" s="5">
        <v>120</v>
      </c>
      <c r="H92" s="5">
        <v>0.625</v>
      </c>
      <c r="I92" s="5">
        <v>2.9170000000000001E-2</v>
      </c>
      <c r="K92" t="s">
        <v>19</v>
      </c>
    </row>
    <row r="93" spans="1:11" x14ac:dyDescent="0.25">
      <c r="A93" t="s">
        <v>209</v>
      </c>
      <c r="B93" t="s">
        <v>206</v>
      </c>
      <c r="C93" s="31">
        <v>0.22</v>
      </c>
      <c r="E93" s="5" t="s">
        <v>0</v>
      </c>
      <c r="F93" s="5">
        <v>48</v>
      </c>
      <c r="G93" s="5">
        <v>144</v>
      </c>
      <c r="H93" s="5">
        <v>0.625</v>
      </c>
      <c r="I93" s="5">
        <v>2.9170000000000001E-2</v>
      </c>
      <c r="K93" t="s">
        <v>19</v>
      </c>
    </row>
    <row r="94" spans="1:11" x14ac:dyDescent="0.25">
      <c r="A94" t="s">
        <v>210</v>
      </c>
      <c r="B94" t="s">
        <v>151</v>
      </c>
      <c r="C94" s="31">
        <v>0.22</v>
      </c>
      <c r="E94" s="5" t="s">
        <v>0</v>
      </c>
      <c r="F94" s="5">
        <v>48</v>
      </c>
      <c r="G94" s="5">
        <v>96</v>
      </c>
      <c r="H94" s="5">
        <v>0.625</v>
      </c>
      <c r="I94" s="5">
        <v>2.9170000000000001E-2</v>
      </c>
      <c r="K94" t="s">
        <v>19</v>
      </c>
    </row>
    <row r="95" spans="1:11" x14ac:dyDescent="0.25">
      <c r="A95" t="s">
        <v>211</v>
      </c>
      <c r="B95" t="s">
        <v>207</v>
      </c>
      <c r="C95" s="31">
        <v>0.27</v>
      </c>
      <c r="E95" s="5" t="s">
        <v>0</v>
      </c>
      <c r="F95" s="5">
        <v>48</v>
      </c>
      <c r="G95" s="5">
        <v>108</v>
      </c>
      <c r="H95" s="5">
        <v>0.625</v>
      </c>
      <c r="I95" s="5">
        <v>2.9170000000000001E-2</v>
      </c>
      <c r="K95" t="s">
        <v>19</v>
      </c>
    </row>
    <row r="96" spans="1:11" x14ac:dyDescent="0.25">
      <c r="A96" t="s">
        <v>94</v>
      </c>
      <c r="C96" s="31">
        <v>0</v>
      </c>
      <c r="E96" s="5" t="s">
        <v>0</v>
      </c>
      <c r="F96" s="5">
        <v>0</v>
      </c>
      <c r="G96" s="5">
        <v>0</v>
      </c>
      <c r="H96" s="5">
        <v>0</v>
      </c>
      <c r="K96" t="s">
        <v>17</v>
      </c>
    </row>
    <row r="97" spans="1:11" x14ac:dyDescent="0.25">
      <c r="A97" t="s">
        <v>129</v>
      </c>
      <c r="C97" s="31">
        <f>'Quote Worksheet'!$D$6</f>
        <v>1.4</v>
      </c>
      <c r="E97" s="5" t="s">
        <v>0</v>
      </c>
      <c r="F97" s="5">
        <v>1E-4</v>
      </c>
      <c r="G97" s="5">
        <v>0</v>
      </c>
      <c r="H97" s="5">
        <v>0</v>
      </c>
      <c r="K97" t="s">
        <v>19</v>
      </c>
    </row>
    <row r="98" spans="1:11" x14ac:dyDescent="0.25">
      <c r="A98" t="s">
        <v>125</v>
      </c>
      <c r="C98" s="31">
        <f>'Quote Worksheet'!$D$6</f>
        <v>1.4</v>
      </c>
      <c r="E98" s="5" t="s">
        <v>0</v>
      </c>
      <c r="F98" s="5">
        <v>1E-4</v>
      </c>
      <c r="G98" s="5">
        <v>0</v>
      </c>
      <c r="H98" s="5">
        <v>0</v>
      </c>
      <c r="K98" t="s">
        <v>19</v>
      </c>
    </row>
    <row r="99" spans="1:11" x14ac:dyDescent="0.25">
      <c r="A99" t="s">
        <v>132</v>
      </c>
      <c r="C99" s="31">
        <f>'Quote Worksheet'!$D$6</f>
        <v>1.4</v>
      </c>
      <c r="E99" s="5" t="s">
        <v>0</v>
      </c>
      <c r="F99" s="5">
        <v>1</v>
      </c>
      <c r="G99" s="5">
        <v>1</v>
      </c>
      <c r="H99" s="5">
        <v>1</v>
      </c>
      <c r="I99" s="5">
        <v>0.28360000000000002</v>
      </c>
      <c r="K99" t="s">
        <v>19</v>
      </c>
    </row>
    <row r="100" spans="1:11" x14ac:dyDescent="0.25">
      <c r="A100" t="s">
        <v>130</v>
      </c>
      <c r="C100" s="31">
        <f>'Quote Worksheet'!$D$6</f>
        <v>1.4</v>
      </c>
      <c r="E100" s="5" t="s">
        <v>0</v>
      </c>
      <c r="F100" s="5">
        <v>1E-4</v>
      </c>
      <c r="G100" s="5">
        <v>0</v>
      </c>
      <c r="H100" s="5">
        <v>0</v>
      </c>
      <c r="K100" t="s">
        <v>19</v>
      </c>
    </row>
    <row r="101" spans="1:11" x14ac:dyDescent="0.25">
      <c r="A101" t="s">
        <v>40</v>
      </c>
      <c r="C101" s="31">
        <f>'Quote Worksheet'!$D$6</f>
        <v>1.4</v>
      </c>
      <c r="D101" s="4"/>
      <c r="E101" s="5" t="s">
        <v>0</v>
      </c>
      <c r="F101" s="5">
        <v>1</v>
      </c>
      <c r="G101" s="5">
        <v>1</v>
      </c>
      <c r="H101" s="5">
        <v>1</v>
      </c>
      <c r="I101">
        <v>0.28360000000000002</v>
      </c>
      <c r="K101" t="s">
        <v>19</v>
      </c>
    </row>
    <row r="102" spans="1:11" x14ac:dyDescent="0.25">
      <c r="A102" t="s">
        <v>128</v>
      </c>
      <c r="C102" s="31">
        <f>'Quote Worksheet'!$D$6</f>
        <v>1.4</v>
      </c>
      <c r="D102" s="4"/>
      <c r="E102" s="5" t="s">
        <v>0</v>
      </c>
      <c r="F102" s="5">
        <v>1E-4</v>
      </c>
      <c r="G102" s="5">
        <v>0</v>
      </c>
      <c r="H102" s="5">
        <v>0</v>
      </c>
      <c r="K102" t="s">
        <v>19</v>
      </c>
    </row>
    <row r="103" spans="1:11" x14ac:dyDescent="0.25">
      <c r="A103" t="s">
        <v>60</v>
      </c>
      <c r="C103" s="31">
        <v>0</v>
      </c>
      <c r="E103" s="5" t="s">
        <v>0</v>
      </c>
      <c r="F103" s="5">
        <v>0</v>
      </c>
      <c r="G103" s="5">
        <v>0</v>
      </c>
      <c r="H103" s="5">
        <v>0</v>
      </c>
      <c r="K103" t="s">
        <v>60</v>
      </c>
    </row>
    <row r="104" spans="1:11" x14ac:dyDescent="0.25">
      <c r="A104" t="s">
        <v>95</v>
      </c>
      <c r="C104" s="31">
        <v>0</v>
      </c>
      <c r="E104" s="5" t="s">
        <v>0</v>
      </c>
      <c r="F104" s="5">
        <v>0</v>
      </c>
      <c r="G104" s="5">
        <v>0</v>
      </c>
      <c r="H104" s="5">
        <v>0</v>
      </c>
      <c r="K104" t="s">
        <v>19</v>
      </c>
    </row>
    <row r="105" spans="1:11" x14ac:dyDescent="0.25">
      <c r="A105" t="s">
        <v>114</v>
      </c>
      <c r="C105" s="31">
        <v>1200</v>
      </c>
      <c r="E105" s="5" t="s">
        <v>0</v>
      </c>
      <c r="F105" s="5">
        <v>0</v>
      </c>
      <c r="G105" s="5">
        <v>0</v>
      </c>
      <c r="H105" s="5">
        <v>0</v>
      </c>
      <c r="K105" t="s">
        <v>17</v>
      </c>
    </row>
    <row r="106" spans="1:11" x14ac:dyDescent="0.25">
      <c r="A106" t="s">
        <v>115</v>
      </c>
      <c r="C106" s="31">
        <v>130</v>
      </c>
      <c r="E106" s="5" t="s">
        <v>0</v>
      </c>
      <c r="F106" s="5">
        <v>0</v>
      </c>
      <c r="G106" s="5">
        <v>0</v>
      </c>
      <c r="H106" s="5">
        <v>0</v>
      </c>
      <c r="K106" t="s">
        <v>17</v>
      </c>
    </row>
    <row r="107" spans="1:11" x14ac:dyDescent="0.25">
      <c r="A107" t="s">
        <v>116</v>
      </c>
      <c r="C107" s="31">
        <v>250</v>
      </c>
      <c r="E107" s="5" t="s">
        <v>0</v>
      </c>
      <c r="F107" s="5">
        <v>0</v>
      </c>
      <c r="G107" s="5">
        <v>0</v>
      </c>
      <c r="H107" s="5">
        <v>0</v>
      </c>
      <c r="K107" t="s">
        <v>17</v>
      </c>
    </row>
    <row r="108" spans="1:11" x14ac:dyDescent="0.25">
      <c r="A108" t="s">
        <v>51</v>
      </c>
      <c r="C108" s="31">
        <v>0.83</v>
      </c>
      <c r="D108" s="4"/>
      <c r="E108" s="5" t="s">
        <v>38</v>
      </c>
      <c r="F108" s="5">
        <v>0</v>
      </c>
      <c r="G108" s="5">
        <v>0</v>
      </c>
      <c r="H108" s="5">
        <v>0</v>
      </c>
      <c r="K108" t="s">
        <v>17</v>
      </c>
    </row>
    <row r="109" spans="1:11" x14ac:dyDescent="0.25">
      <c r="A109" t="s">
        <v>56</v>
      </c>
      <c r="C109" s="31">
        <v>0.7</v>
      </c>
      <c r="D109" s="4"/>
      <c r="E109" s="5" t="s">
        <v>38</v>
      </c>
      <c r="F109" s="5">
        <v>0</v>
      </c>
      <c r="G109" s="5">
        <v>0</v>
      </c>
      <c r="H109" s="5">
        <v>0</v>
      </c>
      <c r="K109" t="s">
        <v>17</v>
      </c>
    </row>
    <row r="110" spans="1:11" x14ac:dyDescent="0.25">
      <c r="A110" t="s">
        <v>117</v>
      </c>
      <c r="C110" s="31">
        <v>0</v>
      </c>
      <c r="E110" s="5" t="s">
        <v>0</v>
      </c>
      <c r="F110" s="5">
        <v>0</v>
      </c>
      <c r="G110" s="5">
        <v>0</v>
      </c>
      <c r="H110" s="5">
        <v>0</v>
      </c>
      <c r="K110" t="s">
        <v>17</v>
      </c>
    </row>
    <row r="111" spans="1:11" x14ac:dyDescent="0.25">
      <c r="A111" t="s">
        <v>57</v>
      </c>
      <c r="C111" s="31">
        <v>156</v>
      </c>
      <c r="E111" s="5" t="s">
        <v>39</v>
      </c>
      <c r="F111" s="5">
        <v>0</v>
      </c>
      <c r="G111" s="5">
        <v>0</v>
      </c>
      <c r="H111" s="5">
        <v>0</v>
      </c>
      <c r="K111" t="s">
        <v>17</v>
      </c>
    </row>
    <row r="112" spans="1:11" x14ac:dyDescent="0.25">
      <c r="A112" t="s">
        <v>52</v>
      </c>
      <c r="C112" s="31">
        <v>156</v>
      </c>
      <c r="D112" s="4"/>
      <c r="E112" s="5" t="s">
        <v>39</v>
      </c>
      <c r="F112" s="5">
        <v>0</v>
      </c>
      <c r="G112" s="5">
        <v>0</v>
      </c>
      <c r="H112" s="5">
        <v>0</v>
      </c>
      <c r="K112" t="s">
        <v>17</v>
      </c>
    </row>
    <row r="113" spans="1:11" x14ac:dyDescent="0.25">
      <c r="A113" t="s">
        <v>123</v>
      </c>
      <c r="C113" s="31">
        <v>10</v>
      </c>
      <c r="E113" s="5" t="s">
        <v>0</v>
      </c>
      <c r="F113" s="5">
        <v>0</v>
      </c>
      <c r="G113" s="5">
        <v>0</v>
      </c>
      <c r="H113" s="5">
        <v>0</v>
      </c>
      <c r="K113" t="s">
        <v>17</v>
      </c>
    </row>
    <row r="114" spans="1:11" x14ac:dyDescent="0.25">
      <c r="A114" t="s">
        <v>61</v>
      </c>
      <c r="C114" s="31">
        <v>156</v>
      </c>
      <c r="E114" s="5" t="s">
        <v>0</v>
      </c>
      <c r="F114" s="5">
        <v>0</v>
      </c>
      <c r="G114" s="5">
        <v>0</v>
      </c>
      <c r="H114" s="5">
        <v>0</v>
      </c>
      <c r="K114" t="s">
        <v>17</v>
      </c>
    </row>
    <row r="115" spans="1:11" x14ac:dyDescent="0.25">
      <c r="A115" t="s">
        <v>105</v>
      </c>
      <c r="C115" s="31">
        <v>70</v>
      </c>
      <c r="E115" s="5" t="s">
        <v>0</v>
      </c>
      <c r="F115" s="5">
        <v>0</v>
      </c>
      <c r="G115" s="5">
        <v>0</v>
      </c>
      <c r="H115" s="5">
        <v>0</v>
      </c>
      <c r="K115" t="s">
        <v>19</v>
      </c>
    </row>
    <row r="116" spans="1:11" x14ac:dyDescent="0.25">
      <c r="A116" t="s">
        <v>124</v>
      </c>
      <c r="C116" s="31">
        <v>0</v>
      </c>
      <c r="E116" s="5" t="s">
        <v>0</v>
      </c>
      <c r="F116" s="5">
        <v>0</v>
      </c>
      <c r="G116" s="5">
        <v>0</v>
      </c>
      <c r="H116" s="5">
        <v>0</v>
      </c>
      <c r="K116" t="s">
        <v>19</v>
      </c>
    </row>
    <row r="117" spans="1:11" x14ac:dyDescent="0.25">
      <c r="A117" t="s">
        <v>131</v>
      </c>
      <c r="C117" s="31">
        <v>200</v>
      </c>
      <c r="E117" s="5" t="s">
        <v>0</v>
      </c>
      <c r="F117" s="5">
        <v>0</v>
      </c>
      <c r="G117" s="5">
        <v>0</v>
      </c>
      <c r="H117" s="5">
        <v>0</v>
      </c>
      <c r="K117" t="s">
        <v>19</v>
      </c>
    </row>
    <row r="120" spans="1:11" x14ac:dyDescent="0.25">
      <c r="A120" t="s">
        <v>290</v>
      </c>
      <c r="C120" s="33">
        <v>142</v>
      </c>
    </row>
    <row r="121" spans="1:11" x14ac:dyDescent="0.25">
      <c r="A121" t="s">
        <v>291</v>
      </c>
      <c r="C121" s="33">
        <v>165</v>
      </c>
    </row>
    <row r="122" spans="1:11" x14ac:dyDescent="0.25">
      <c r="A122" t="s">
        <v>289</v>
      </c>
      <c r="C122" s="33">
        <v>235</v>
      </c>
    </row>
    <row r="123" spans="1:11" x14ac:dyDescent="0.25">
      <c r="A123" t="s">
        <v>292</v>
      </c>
      <c r="C123" s="33">
        <v>329</v>
      </c>
    </row>
    <row r="124" spans="1:11" x14ac:dyDescent="0.25">
      <c r="A124" t="s">
        <v>293</v>
      </c>
      <c r="C124" s="33">
        <v>423</v>
      </c>
    </row>
    <row r="127" spans="1:11" x14ac:dyDescent="0.25">
      <c r="A127" t="s">
        <v>294</v>
      </c>
      <c r="C127" s="33">
        <v>272</v>
      </c>
    </row>
    <row r="128" spans="1:11" x14ac:dyDescent="0.25">
      <c r="A128" t="s">
        <v>295</v>
      </c>
      <c r="C128" s="33">
        <v>517</v>
      </c>
    </row>
    <row r="129" spans="1:3" x14ac:dyDescent="0.25">
      <c r="A129" t="s">
        <v>296</v>
      </c>
      <c r="C129" s="33">
        <v>640</v>
      </c>
    </row>
    <row r="131" spans="1:3" x14ac:dyDescent="0.25">
      <c r="A131" t="s">
        <v>297</v>
      </c>
      <c r="C131" s="33">
        <v>25</v>
      </c>
    </row>
    <row r="132" spans="1:3" x14ac:dyDescent="0.25">
      <c r="A132" t="s">
        <v>298</v>
      </c>
      <c r="C132" s="33">
        <v>33</v>
      </c>
    </row>
    <row r="133" spans="1:3" x14ac:dyDescent="0.25">
      <c r="A133" t="s">
        <v>299</v>
      </c>
      <c r="C133" s="33">
        <v>47</v>
      </c>
    </row>
    <row r="134" spans="1:3" x14ac:dyDescent="0.25">
      <c r="A134" t="s">
        <v>300</v>
      </c>
      <c r="C134" s="33">
        <v>62</v>
      </c>
    </row>
    <row r="135" spans="1:3" x14ac:dyDescent="0.25">
      <c r="A135" t="s">
        <v>301</v>
      </c>
      <c r="C135" s="33">
        <v>78</v>
      </c>
    </row>
  </sheetData>
  <autoFilter ref="A1:K1" xr:uid="{00000000-0009-0000-0000-000001000000}">
    <sortState xmlns:xlrd2="http://schemas.microsoft.com/office/spreadsheetml/2017/richdata2" ref="A2:K107">
      <sortCondition ref="A1"/>
    </sortState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4A6CD-BB90-487F-9635-5C489F740BA4}">
  <dimension ref="A1:D26"/>
  <sheetViews>
    <sheetView tabSelected="1" workbookViewId="0">
      <selection activeCell="A27" sqref="A27"/>
    </sheetView>
  </sheetViews>
  <sheetFormatPr defaultRowHeight="15" x14ac:dyDescent="0.25"/>
  <cols>
    <col min="1" max="1" width="46.85546875" bestFit="1" customWidth="1"/>
    <col min="2" max="2" width="11" bestFit="1" customWidth="1"/>
    <col min="3" max="3" width="19" bestFit="1" customWidth="1"/>
    <col min="4" max="4" width="21" bestFit="1" customWidth="1"/>
  </cols>
  <sheetData>
    <row r="1" spans="1:4" x14ac:dyDescent="0.25">
      <c r="A1" t="s">
        <v>10</v>
      </c>
      <c r="B1" t="s">
        <v>302</v>
      </c>
      <c r="C1" t="s">
        <v>304</v>
      </c>
    </row>
    <row r="2" spans="1:4" x14ac:dyDescent="0.25">
      <c r="A2" t="s">
        <v>290</v>
      </c>
      <c r="C2" s="82">
        <v>0.5</v>
      </c>
    </row>
    <row r="3" spans="1:4" x14ac:dyDescent="0.25">
      <c r="A3" t="s">
        <v>291</v>
      </c>
      <c r="C3" s="82">
        <v>0.5</v>
      </c>
    </row>
    <row r="4" spans="1:4" x14ac:dyDescent="0.25">
      <c r="A4" t="s">
        <v>289</v>
      </c>
      <c r="C4" s="82">
        <v>0.5</v>
      </c>
    </row>
    <row r="5" spans="1:4" x14ac:dyDescent="0.25">
      <c r="A5" t="s">
        <v>292</v>
      </c>
      <c r="C5" s="82">
        <v>0.5</v>
      </c>
    </row>
    <row r="6" spans="1:4" x14ac:dyDescent="0.25">
      <c r="A6" t="s">
        <v>293</v>
      </c>
      <c r="C6" s="82">
        <v>0.5</v>
      </c>
    </row>
    <row r="7" spans="1:4" x14ac:dyDescent="0.25">
      <c r="C7" s="82"/>
    </row>
    <row r="8" spans="1:4" x14ac:dyDescent="0.25">
      <c r="C8" s="82"/>
    </row>
    <row r="9" spans="1:4" x14ac:dyDescent="0.25">
      <c r="A9" t="s">
        <v>294</v>
      </c>
      <c r="C9" s="82">
        <v>0.35</v>
      </c>
    </row>
    <row r="10" spans="1:4" x14ac:dyDescent="0.25">
      <c r="A10" t="s">
        <v>295</v>
      </c>
      <c r="C10" s="82">
        <v>0.5</v>
      </c>
    </row>
    <row r="11" spans="1:4" x14ac:dyDescent="0.25">
      <c r="A11" t="s">
        <v>296</v>
      </c>
      <c r="C11" s="82">
        <v>0.5</v>
      </c>
    </row>
    <row r="12" spans="1:4" x14ac:dyDescent="0.25">
      <c r="B12" t="s">
        <v>302</v>
      </c>
      <c r="C12" s="82" t="s">
        <v>303</v>
      </c>
    </row>
    <row r="13" spans="1:4" x14ac:dyDescent="0.25">
      <c r="A13" t="s">
        <v>297</v>
      </c>
      <c r="B13">
        <v>15</v>
      </c>
      <c r="C13" s="82">
        <f>20000/2/8/B13</f>
        <v>83.333333333333329</v>
      </c>
      <c r="D13" s="83"/>
    </row>
    <row r="14" spans="1:4" x14ac:dyDescent="0.25">
      <c r="A14" t="s">
        <v>298</v>
      </c>
      <c r="B14">
        <v>20</v>
      </c>
      <c r="C14" s="82">
        <f t="shared" ref="C14:C17" si="0">20000/2/8/B14</f>
        <v>62.5</v>
      </c>
    </row>
    <row r="15" spans="1:4" x14ac:dyDescent="0.25">
      <c r="A15" t="s">
        <v>299</v>
      </c>
      <c r="B15">
        <v>30</v>
      </c>
      <c r="C15" s="82">
        <f t="shared" si="0"/>
        <v>41.666666666666664</v>
      </c>
    </row>
    <row r="16" spans="1:4" x14ac:dyDescent="0.25">
      <c r="A16" t="s">
        <v>300</v>
      </c>
      <c r="B16">
        <v>40</v>
      </c>
      <c r="C16" s="82">
        <f t="shared" si="0"/>
        <v>31.25</v>
      </c>
    </row>
    <row r="17" spans="1:3" x14ac:dyDescent="0.25">
      <c r="A17" t="s">
        <v>301</v>
      </c>
      <c r="B17">
        <v>50</v>
      </c>
      <c r="C17" s="82">
        <f t="shared" si="0"/>
        <v>25</v>
      </c>
    </row>
    <row r="19" spans="1:3" x14ac:dyDescent="0.25">
      <c r="A19" t="s">
        <v>306</v>
      </c>
      <c r="C19">
        <v>3</v>
      </c>
    </row>
    <row r="20" spans="1:3" x14ac:dyDescent="0.25">
      <c r="A20" t="s">
        <v>307</v>
      </c>
      <c r="C20">
        <v>3</v>
      </c>
    </row>
    <row r="21" spans="1:3" x14ac:dyDescent="0.25">
      <c r="A21" t="s">
        <v>308</v>
      </c>
      <c r="C21">
        <v>3</v>
      </c>
    </row>
    <row r="22" spans="1:3" x14ac:dyDescent="0.25">
      <c r="A22" t="s">
        <v>309</v>
      </c>
      <c r="C22">
        <v>3</v>
      </c>
    </row>
    <row r="23" spans="1:3" x14ac:dyDescent="0.25">
      <c r="A23" t="s">
        <v>305</v>
      </c>
      <c r="C23">
        <v>4</v>
      </c>
    </row>
    <row r="24" spans="1:3" x14ac:dyDescent="0.25">
      <c r="A24" t="s">
        <v>310</v>
      </c>
      <c r="C24">
        <v>6</v>
      </c>
    </row>
    <row r="25" spans="1:3" x14ac:dyDescent="0.25">
      <c r="A25" t="s">
        <v>311</v>
      </c>
      <c r="C25">
        <v>6</v>
      </c>
    </row>
    <row r="26" spans="1:3" x14ac:dyDescent="0.25">
      <c r="A26" t="s">
        <v>312</v>
      </c>
      <c r="C26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8"/>
  <sheetViews>
    <sheetView workbookViewId="0">
      <selection activeCell="A4" sqref="A4"/>
    </sheetView>
  </sheetViews>
  <sheetFormatPr defaultRowHeight="15" x14ac:dyDescent="0.25"/>
  <cols>
    <col min="1" max="1" width="48.42578125" bestFit="1" customWidth="1"/>
    <col min="3" max="3" width="23.140625" bestFit="1" customWidth="1"/>
    <col min="4" max="4" width="29.42578125" customWidth="1"/>
    <col min="7" max="7" width="9.5703125" customWidth="1"/>
    <col min="16" max="16" width="12.85546875" customWidth="1"/>
  </cols>
  <sheetData>
    <row r="1" spans="1:1" x14ac:dyDescent="0.25">
      <c r="A1" t="s">
        <v>192</v>
      </c>
    </row>
    <row r="2" spans="1:1" x14ac:dyDescent="0.25">
      <c r="A2" t="s">
        <v>193</v>
      </c>
    </row>
    <row r="3" spans="1:1" x14ac:dyDescent="0.25">
      <c r="A3" t="s">
        <v>194</v>
      </c>
    </row>
    <row r="4" spans="1:1" x14ac:dyDescent="0.25">
      <c r="A4" t="s">
        <v>195</v>
      </c>
    </row>
    <row r="5" spans="1:1" x14ac:dyDescent="0.25">
      <c r="A5" t="s">
        <v>233</v>
      </c>
    </row>
    <row r="6" spans="1:1" x14ac:dyDescent="0.25">
      <c r="A6" t="s">
        <v>234</v>
      </c>
    </row>
    <row r="7" spans="1:1" x14ac:dyDescent="0.25">
      <c r="A7" t="s">
        <v>235</v>
      </c>
    </row>
    <row r="8" spans="1:1" x14ac:dyDescent="0.25">
      <c r="A8" t="s">
        <v>236</v>
      </c>
    </row>
    <row r="9" spans="1:1" x14ac:dyDescent="0.25">
      <c r="A9" t="s">
        <v>253</v>
      </c>
    </row>
    <row r="10" spans="1:1" x14ac:dyDescent="0.25">
      <c r="A10" t="s">
        <v>254</v>
      </c>
    </row>
    <row r="11" spans="1:1" x14ac:dyDescent="0.25">
      <c r="A11" t="s">
        <v>255</v>
      </c>
    </row>
    <row r="12" spans="1:1" x14ac:dyDescent="0.25">
      <c r="A12" t="s">
        <v>256</v>
      </c>
    </row>
    <row r="13" spans="1:1" x14ac:dyDescent="0.25">
      <c r="A13" t="s">
        <v>257</v>
      </c>
    </row>
    <row r="14" spans="1:1" x14ac:dyDescent="0.25">
      <c r="A14" t="s">
        <v>258</v>
      </c>
    </row>
    <row r="15" spans="1:1" x14ac:dyDescent="0.25">
      <c r="A15" t="s">
        <v>259</v>
      </c>
    </row>
    <row r="16" spans="1:1" x14ac:dyDescent="0.25">
      <c r="A16" t="s">
        <v>260</v>
      </c>
    </row>
    <row r="17" spans="1:1" x14ac:dyDescent="0.25">
      <c r="A17" t="s">
        <v>262</v>
      </c>
    </row>
    <row r="18" spans="1:1" x14ac:dyDescent="0.25">
      <c r="A18" t="s">
        <v>263</v>
      </c>
    </row>
  </sheetData>
  <sortState xmlns:xlrd2="http://schemas.microsoft.com/office/spreadsheetml/2017/richdata2" ref="A1:A3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3"/>
  <sheetViews>
    <sheetView workbookViewId="0">
      <selection activeCell="A13" sqref="A13:Q15"/>
    </sheetView>
  </sheetViews>
  <sheetFormatPr defaultRowHeight="15" x14ac:dyDescent="0.25"/>
  <cols>
    <col min="3" max="3" width="32.28515625" customWidth="1"/>
    <col min="4" max="4" width="33.7109375" customWidth="1"/>
    <col min="5" max="6" width="8" bestFit="1" customWidth="1"/>
    <col min="7" max="7" width="9.5703125" customWidth="1"/>
    <col min="8" max="8" width="8" customWidth="1"/>
    <col min="9" max="9" width="7.42578125" bestFit="1" customWidth="1"/>
    <col min="10" max="10" width="8.7109375" bestFit="1" customWidth="1"/>
    <col min="11" max="11" width="13.7109375" customWidth="1"/>
    <col min="12" max="12" width="10.5703125" customWidth="1"/>
    <col min="13" max="13" width="11.28515625" customWidth="1"/>
    <col min="14" max="14" width="11.42578125" customWidth="1"/>
    <col min="16" max="16" width="12" customWidth="1"/>
    <col min="17" max="17" width="12.42578125" customWidth="1"/>
  </cols>
  <sheetData>
    <row r="1" spans="1:17" s="22" customFormat="1" ht="15.75" x14ac:dyDescent="0.25">
      <c r="A1" s="15">
        <v>1</v>
      </c>
      <c r="B1" s="15" t="s">
        <v>0</v>
      </c>
      <c r="C1" s="14" t="s">
        <v>140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s="22" customFormat="1" ht="39" x14ac:dyDescent="0.25">
      <c r="A2" s="1" t="s">
        <v>7</v>
      </c>
      <c r="B2" s="1" t="s">
        <v>3</v>
      </c>
      <c r="C2" s="1" t="s">
        <v>10</v>
      </c>
      <c r="D2" s="1" t="s">
        <v>4</v>
      </c>
      <c r="E2" s="3" t="s">
        <v>21</v>
      </c>
      <c r="F2" s="3" t="s">
        <v>26</v>
      </c>
      <c r="G2" s="3" t="s">
        <v>27</v>
      </c>
      <c r="H2" s="3" t="s">
        <v>22</v>
      </c>
      <c r="I2" s="3" t="s">
        <v>23</v>
      </c>
      <c r="J2" s="3" t="s">
        <v>14</v>
      </c>
      <c r="K2" s="3" t="s">
        <v>15</v>
      </c>
      <c r="L2" s="3" t="s">
        <v>8</v>
      </c>
      <c r="M2" s="3" t="s">
        <v>5</v>
      </c>
      <c r="N2" s="3" t="s">
        <v>11</v>
      </c>
      <c r="O2" s="3" t="s">
        <v>2</v>
      </c>
      <c r="P2" s="1" t="s">
        <v>1</v>
      </c>
      <c r="Q2" s="3" t="s">
        <v>6</v>
      </c>
    </row>
    <row r="3" spans="1:17" x14ac:dyDescent="0.25">
      <c r="A3" s="6"/>
      <c r="B3" s="7" t="e">
        <f>VLOOKUP($C3,Items!$A$2:$AE$10014,5,FALSE)</f>
        <v>#N/A</v>
      </c>
      <c r="C3" s="23"/>
      <c r="D3" s="6"/>
      <c r="E3" s="28" t="e">
        <f>VLOOKUP($C3,Items!$A$2:$AE$10014,6,FALSE)</f>
        <v>#N/A</v>
      </c>
      <c r="F3" s="28" t="e">
        <f>VLOOKUP($C3,Items!$A$2:$AE$10014,7,FALSE)</f>
        <v>#N/A</v>
      </c>
      <c r="G3" s="28" t="e">
        <f>VLOOKUP($C3,Items!$A$2:$AE$10014,8,FALSE)</f>
        <v>#N/A</v>
      </c>
      <c r="H3" s="28" t="e">
        <f>IF(E3=0,+VLOOKUP($C3,Items!$A$2:$AE$10014,9,FALSE),+VLOOKUP($C3,Items!$A$2:$AE$10014,9,FALSE)*E3*F3*G3)</f>
        <v>#N/A</v>
      </c>
      <c r="I3" s="29" t="e">
        <f>IF(E3=0,+VLOOKUP($C3,Items!$A$2:$AE$10014,10,FALSE)*A3,(A3*H3))</f>
        <v>#N/A</v>
      </c>
      <c r="J3" s="8" t="e">
        <f>IF(E3=0,+VLOOKUP($C3,Items!$A$2:$AE$10014,3,FALSE),+VLOOKUP($C3,Items!$A$2:$AE$10014,3,FALSE)*H3)</f>
        <v>#N/A</v>
      </c>
      <c r="K3" s="16" t="e">
        <f>A3*J3</f>
        <v>#N/A</v>
      </c>
      <c r="L3" s="36" t="e">
        <f>#REF!</f>
        <v>#REF!</v>
      </c>
      <c r="M3" s="16" t="e">
        <f>K3*L3</f>
        <v>#N/A</v>
      </c>
      <c r="N3" s="17" t="e">
        <f>VLOOKUP($C3,Items!$A$2:$AE$10014,4,FALSE)*A3</f>
        <v>#N/A</v>
      </c>
      <c r="O3" s="9">
        <v>0</v>
      </c>
      <c r="P3" s="18">
        <f>IF(O3=1,(K3+M3)*(#REF!),0)</f>
        <v>0</v>
      </c>
      <c r="Q3" s="16" t="e">
        <f>K3+M3+N3+P3</f>
        <v>#N/A</v>
      </c>
    </row>
  </sheetData>
  <conditionalFormatting sqref="E2:G2">
    <cfRule type="cellIs" dxfId="220" priority="17" operator="lessThanOrEqual">
      <formula>0.001</formula>
    </cfRule>
  </conditionalFormatting>
  <conditionalFormatting sqref="B2">
    <cfRule type="cellIs" dxfId="219" priority="16" operator="equal">
      <formula>0</formula>
    </cfRule>
  </conditionalFormatting>
  <conditionalFormatting sqref="D2">
    <cfRule type="cellIs" dxfId="218" priority="15" operator="equal">
      <formula>0</formula>
    </cfRule>
  </conditionalFormatting>
  <conditionalFormatting sqref="H2">
    <cfRule type="cellIs" dxfId="217" priority="14" operator="equal">
      <formula>$E2</formula>
    </cfRule>
  </conditionalFormatting>
  <conditionalFormatting sqref="E3:G3">
    <cfRule type="cellIs" dxfId="216" priority="5" operator="lessThanOrEqual">
      <formula>0.001</formula>
    </cfRule>
  </conditionalFormatting>
  <conditionalFormatting sqref="B3">
    <cfRule type="cellIs" dxfId="215" priority="4" operator="equal">
      <formula>0</formula>
    </cfRule>
  </conditionalFormatting>
  <conditionalFormatting sqref="D3">
    <cfRule type="cellIs" dxfId="214" priority="3" operator="equal">
      <formula>0</formula>
    </cfRule>
  </conditionalFormatting>
  <conditionalFormatting sqref="H3">
    <cfRule type="cellIs" dxfId="213" priority="2" operator="equal">
      <formula>$E3</formula>
    </cfRule>
  </conditionalFormatting>
  <conditionalFormatting sqref="I3">
    <cfRule type="cellIs" dxfId="212" priority="1" operator="equal">
      <formula>$E3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Items!A2:A855</xm:f>
          </x14:formula1>
          <xm:sqref>C3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4:ER88"/>
  <sheetViews>
    <sheetView topLeftCell="A55" workbookViewId="0">
      <selection activeCell="K70" sqref="K70:K78"/>
    </sheetView>
  </sheetViews>
  <sheetFormatPr defaultRowHeight="15" x14ac:dyDescent="0.25"/>
  <cols>
    <col min="2" max="2" width="8.85546875" customWidth="1"/>
    <col min="3" max="3" width="38.28515625" customWidth="1"/>
    <col min="4" max="4" width="26.42578125" customWidth="1"/>
    <col min="5" max="6" width="8" bestFit="1" customWidth="1"/>
    <col min="7" max="7" width="9.7109375" customWidth="1"/>
    <col min="8" max="8" width="8.28515625" bestFit="1" customWidth="1"/>
    <col min="9" max="9" width="8.42578125" customWidth="1"/>
    <col min="10" max="10" width="10.28515625" customWidth="1"/>
    <col min="11" max="11" width="10.140625" customWidth="1"/>
    <col min="12" max="12" width="10.28515625" bestFit="1" customWidth="1"/>
    <col min="13" max="13" width="8.5703125" bestFit="1" customWidth="1"/>
    <col min="16" max="16" width="12" bestFit="1" customWidth="1"/>
    <col min="17" max="17" width="8.5703125" bestFit="1" customWidth="1"/>
    <col min="19" max="148" width="9.140625" style="22"/>
  </cols>
  <sheetData>
    <row r="4" spans="1:18" ht="15.75" x14ac:dyDescent="0.25">
      <c r="A4" s="74">
        <v>1</v>
      </c>
      <c r="B4" s="74" t="s">
        <v>0</v>
      </c>
      <c r="C4" s="75" t="s">
        <v>198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8" ht="39" x14ac:dyDescent="0.25">
      <c r="A5" s="1" t="s">
        <v>7</v>
      </c>
      <c r="B5" s="1" t="s">
        <v>3</v>
      </c>
      <c r="C5" s="1" t="s">
        <v>10</v>
      </c>
      <c r="D5" s="1" t="s">
        <v>4</v>
      </c>
      <c r="E5" s="3" t="s">
        <v>21</v>
      </c>
      <c r="F5" s="3" t="s">
        <v>26</v>
      </c>
      <c r="G5" s="3" t="s">
        <v>27</v>
      </c>
      <c r="H5" s="3" t="s">
        <v>145</v>
      </c>
      <c r="I5" s="3" t="s">
        <v>23</v>
      </c>
      <c r="J5" s="3" t="s">
        <v>146</v>
      </c>
      <c r="K5" s="3" t="s">
        <v>15</v>
      </c>
      <c r="L5" s="3" t="s">
        <v>8</v>
      </c>
      <c r="M5" s="3" t="s">
        <v>5</v>
      </c>
      <c r="N5" s="3" t="s">
        <v>11</v>
      </c>
      <c r="O5" s="3" t="s">
        <v>2</v>
      </c>
      <c r="P5" s="1" t="s">
        <v>1</v>
      </c>
      <c r="Q5" s="3" t="s">
        <v>6</v>
      </c>
      <c r="R5" s="3" t="s">
        <v>18</v>
      </c>
    </row>
    <row r="6" spans="1:18" x14ac:dyDescent="0.25">
      <c r="A6" s="6">
        <f>1*A4</f>
        <v>1</v>
      </c>
      <c r="B6" s="7" t="str">
        <f>VLOOKUP($C6,Items!$A$2:$AE$10014,5,FALSE)</f>
        <v>ea</v>
      </c>
      <c r="C6" s="41" t="s">
        <v>42</v>
      </c>
      <c r="D6" s="6"/>
      <c r="E6" s="28">
        <v>49</v>
      </c>
      <c r="F6" s="28">
        <v>84</v>
      </c>
      <c r="G6" s="28">
        <v>2.0000000000000001E-4</v>
      </c>
      <c r="H6" s="28">
        <f>IF(E6=0,+VLOOKUP($C6,Items!$A$2:$AE$10014,9,FALSE),+VLOOKUP($C6,Items!$A$2:$AE$10014,9,FALSE)*E6*F6*G6)</f>
        <v>0.34300274400000003</v>
      </c>
      <c r="I6" s="29">
        <f>IF(E6=0,+VLOOKUP($C6,Items!$A$2:$AE$10014,10,FALSE)*A6,(A6*H6))</f>
        <v>0.34300274400000003</v>
      </c>
      <c r="J6" s="8">
        <f>IF(E6=0,+VLOOKUP($C6,Items!$A$2:$AE$10014,3,FALSE),+VLOOKUP($C6,Items!$A$2:$AE$10014,3,FALSE)*H6)</f>
        <v>0.60025480200000003</v>
      </c>
      <c r="K6" s="16">
        <f t="shared" ref="K6:K11" si="0">A6*J6</f>
        <v>0.60025480200000003</v>
      </c>
      <c r="L6" s="36">
        <f>IF(R6="Labor",$D$2,$D$3)</f>
        <v>0</v>
      </c>
      <c r="M6" s="16">
        <f t="shared" ref="M6:M11" si="1">K6*L6</f>
        <v>0</v>
      </c>
      <c r="N6" s="17">
        <f>VLOOKUP($C6,Items!$A$2:$AE$10014,4,FALSE)*A6</f>
        <v>0</v>
      </c>
      <c r="O6" s="9">
        <v>0</v>
      </c>
      <c r="P6" s="18">
        <f>IF(O6=1,(K6+M6)*($D$1),0)</f>
        <v>0</v>
      </c>
      <c r="Q6" s="16">
        <f t="shared" ref="Q6:Q11" si="2">ROUNDUP(K6+M6+N6+P6,0)</f>
        <v>1</v>
      </c>
      <c r="R6" s="61" t="str">
        <f>VLOOKUP($C6,Items!$A$2:$AE$10014,11,FALSE)</f>
        <v>Material</v>
      </c>
    </row>
    <row r="7" spans="1:18" x14ac:dyDescent="0.25">
      <c r="A7" s="6">
        <f>1*A4</f>
        <v>1</v>
      </c>
      <c r="B7" s="7" t="str">
        <f>VLOOKUP($C7,Items!$A$2:$AE$10014,5,FALSE)</f>
        <v>ea</v>
      </c>
      <c r="C7" s="41" t="s">
        <v>202</v>
      </c>
      <c r="D7" s="6" t="str">
        <f>VLOOKUP($C7,Items!$A$2:$AE$10014,2,FALSE)</f>
        <v>4' x 8' x 1/2" GWB</v>
      </c>
      <c r="E7" s="28">
        <f>VLOOKUP($C7,Items!$A$2:$AE$10014,6,FALSE)</f>
        <v>48</v>
      </c>
      <c r="F7" s="28">
        <f>VLOOKUP($C7,Items!$A$2:$AE$10014,7,FALSE)</f>
        <v>96</v>
      </c>
      <c r="G7" s="28">
        <f>VLOOKUP($C7,Items!$A$2:$AE$10014,8,FALSE)</f>
        <v>0.5</v>
      </c>
      <c r="H7" s="28">
        <f>IF(E7=0,+VLOOKUP($C7,Items!$A$2:$AE$10014,9,FALSE),+VLOOKUP($C7,Items!$A$2:$AE$10014,9,FALSE)*E7*F7*G7)</f>
        <v>67.207680000000011</v>
      </c>
      <c r="I7" s="29">
        <f>IF(E7=0,+VLOOKUP($C7,Items!$A$2:$AE$10014,10,FALSE)*A7,(A7*H7))</f>
        <v>67.207680000000011</v>
      </c>
      <c r="J7" s="8">
        <v>8</v>
      </c>
      <c r="K7" s="16">
        <f t="shared" si="0"/>
        <v>8</v>
      </c>
      <c r="L7" s="36">
        <f t="shared" ref="L7:L11" si="3">IF(R7="Labor",$D$2,$D$3)</f>
        <v>0</v>
      </c>
      <c r="M7" s="16">
        <f t="shared" si="1"/>
        <v>0</v>
      </c>
      <c r="N7" s="17">
        <f>VLOOKUP($C7,Items!$A$2:$AE$10014,4,FALSE)*A7</f>
        <v>0</v>
      </c>
      <c r="O7" s="9">
        <v>0</v>
      </c>
      <c r="P7" s="18">
        <f t="shared" ref="P7:P11" si="4">IF(O7=1,(K7+M7)*($D$1),0)</f>
        <v>0</v>
      </c>
      <c r="Q7" s="16">
        <f t="shared" si="2"/>
        <v>8</v>
      </c>
      <c r="R7" s="61" t="str">
        <f>VLOOKUP($C7,Items!$A$2:$AE$10014,11,FALSE)</f>
        <v>Material</v>
      </c>
    </row>
    <row r="8" spans="1:18" x14ac:dyDescent="0.25">
      <c r="A8" s="6">
        <f>0.2*A4</f>
        <v>0.2</v>
      </c>
      <c r="B8" s="7" t="str">
        <f>VLOOKUP($C8,Items!$A$2:$AE$10014,5,FALSE)</f>
        <v>mh</v>
      </c>
      <c r="C8" s="41" t="s">
        <v>46</v>
      </c>
      <c r="D8" s="6" t="s">
        <v>152</v>
      </c>
      <c r="E8" s="28">
        <f>VLOOKUP($C8,Items!$A$2:$AE$10014,6,FALSE)</f>
        <v>0</v>
      </c>
      <c r="F8" s="28">
        <f>VLOOKUP($C8,Items!$A$2:$AE$10014,7,FALSE)</f>
        <v>0</v>
      </c>
      <c r="G8" s="28">
        <f>VLOOKUP($C8,Items!$A$2:$AE$10014,8,FALSE)</f>
        <v>0</v>
      </c>
      <c r="H8" s="28">
        <f>IF(E8=0,+VLOOKUP($C8,Items!$A$2:$AE$10014,9,FALSE),+VLOOKUP($C8,Items!$A$2:$AE$10014,9,FALSE)*E8*F8*G8)</f>
        <v>0</v>
      </c>
      <c r="I8" s="29">
        <f>IF(E8=0,+VLOOKUP($C8,Items!$A$2:$AE$10014,10,FALSE)*A8,(A8*H8))</f>
        <v>0</v>
      </c>
      <c r="J8" s="8">
        <f>IF(E8=0,+VLOOKUP($C8,Items!$A$2:$AE$10014,3,FALSE),+VLOOKUP($C8,Items!$A$2:$AE$10014,3,FALSE)*H8)</f>
        <v>38</v>
      </c>
      <c r="K8" s="16">
        <f t="shared" si="0"/>
        <v>7.6000000000000005</v>
      </c>
      <c r="L8" s="36">
        <f t="shared" si="3"/>
        <v>0</v>
      </c>
      <c r="M8" s="16">
        <f t="shared" si="1"/>
        <v>0</v>
      </c>
      <c r="N8" s="17">
        <f>VLOOKUP($C8,Items!$A$2:$AE$10014,4,FALSE)*A8</f>
        <v>3.2</v>
      </c>
      <c r="O8" s="9">
        <v>0</v>
      </c>
      <c r="P8" s="18">
        <f t="shared" si="4"/>
        <v>0</v>
      </c>
      <c r="Q8" s="16">
        <f t="shared" si="2"/>
        <v>11</v>
      </c>
      <c r="R8" s="61" t="str">
        <f>VLOOKUP($C8,Items!$A$2:$AE$10014,11,FALSE)</f>
        <v>Labor</v>
      </c>
    </row>
    <row r="9" spans="1:18" x14ac:dyDescent="0.25">
      <c r="A9" s="6">
        <f>0.3*A4</f>
        <v>0.3</v>
      </c>
      <c r="B9" s="7" t="str">
        <f>VLOOKUP($C9,Items!$A$2:$AE$10014,5,FALSE)</f>
        <v>gal</v>
      </c>
      <c r="C9" s="41" t="s">
        <v>28</v>
      </c>
      <c r="D9" s="6" t="str">
        <f>VLOOKUP($C9,Items!$A$2:$AE$10014,2,FALSE)</f>
        <v>Cold Press Glue</v>
      </c>
      <c r="E9" s="28">
        <f>VLOOKUP($C9,Items!$A$2:$AE$10014,6,FALSE)</f>
        <v>0</v>
      </c>
      <c r="F9" s="28">
        <f>VLOOKUP($C9,Items!$A$2:$AE$10014,7,FALSE)</f>
        <v>0</v>
      </c>
      <c r="G9" s="28">
        <f>VLOOKUP($C9,Items!$A$2:$AE$10014,8,FALSE)</f>
        <v>0</v>
      </c>
      <c r="H9" s="28">
        <f>IF(E9=0,+VLOOKUP($C9,Items!$A$2:$AE$10014,9,FALSE),+VLOOKUP($C9,Items!$A$2:$AE$10014,9,FALSE)*E9*F9*G9)</f>
        <v>0</v>
      </c>
      <c r="I9" s="29">
        <f>IF(E9=0,+VLOOKUP($C9,Items!$A$2:$AE$10014,10,FALSE)*A9,(A9*H9))</f>
        <v>0</v>
      </c>
      <c r="J9" s="8">
        <f>IF(E9=0,+VLOOKUP($C9,Items!$A$2:$AE$10014,3,FALSE),+VLOOKUP($C9,Items!$A$2:$AE$10014,3,FALSE)*H9)</f>
        <v>18</v>
      </c>
      <c r="K9" s="16">
        <f t="shared" si="0"/>
        <v>5.3999999999999995</v>
      </c>
      <c r="L9" s="36">
        <f t="shared" si="3"/>
        <v>0</v>
      </c>
      <c r="M9" s="16">
        <f t="shared" si="1"/>
        <v>0</v>
      </c>
      <c r="N9" s="17">
        <f>VLOOKUP($C9,Items!$A$2:$AE$10014,4,FALSE)*A9</f>
        <v>0</v>
      </c>
      <c r="O9" s="9">
        <v>0</v>
      </c>
      <c r="P9" s="18">
        <f t="shared" si="4"/>
        <v>0</v>
      </c>
      <c r="Q9" s="16">
        <f t="shared" si="2"/>
        <v>6</v>
      </c>
      <c r="R9" s="61" t="str">
        <f>VLOOKUP($C9,Items!$A$2:$AE$10014,11,FALSE)</f>
        <v>Material</v>
      </c>
    </row>
    <row r="10" spans="1:18" x14ac:dyDescent="0.25">
      <c r="A10" s="6">
        <f>0.0625*A4</f>
        <v>6.25E-2</v>
      </c>
      <c r="B10" s="7" t="str">
        <f>VLOOKUP($C10,Items!$A$2:$AE$10014,5,FALSE)</f>
        <v>ea</v>
      </c>
      <c r="C10" s="41" t="s">
        <v>29</v>
      </c>
      <c r="D10" s="6" t="s">
        <v>153</v>
      </c>
      <c r="E10" s="28">
        <f>VLOOKUP($C10,Items!$A$2:$AE$10014,6,FALSE)</f>
        <v>0</v>
      </c>
      <c r="F10" s="28">
        <f>VLOOKUP($C10,Items!$A$2:$AE$10014,7,FALSE)</f>
        <v>0</v>
      </c>
      <c r="G10" s="28">
        <f>VLOOKUP($C10,Items!$A$2:$AE$10014,8,FALSE)</f>
        <v>0</v>
      </c>
      <c r="H10" s="28">
        <f>IF(E10=0,+VLOOKUP($C10,Items!$A$2:$AE$10014,9,FALSE),+VLOOKUP($C10,Items!$A$2:$AE$10014,9,FALSE)*E10*F10*G10)</f>
        <v>0</v>
      </c>
      <c r="I10" s="29">
        <f>IF(E10=0,+VLOOKUP($C10,Items!$A$2:$AE$10014,10,FALSE)*A10,(A10*H10))</f>
        <v>3.125</v>
      </c>
      <c r="J10" s="8">
        <f>IF(E10=0,+VLOOKUP($C10,Items!$A$2:$AE$10014,3,FALSE),+VLOOKUP($C10,Items!$A$2:$AE$10014,3,FALSE)*H10)</f>
        <v>65</v>
      </c>
      <c r="K10" s="16">
        <f t="shared" si="0"/>
        <v>4.0625</v>
      </c>
      <c r="L10" s="36">
        <f t="shared" si="3"/>
        <v>0</v>
      </c>
      <c r="M10" s="16">
        <f t="shared" si="1"/>
        <v>0</v>
      </c>
      <c r="N10" s="17">
        <f>VLOOKUP($C10,Items!$A$2:$AE$10014,4,FALSE)*A10</f>
        <v>0</v>
      </c>
      <c r="O10" s="9">
        <v>0</v>
      </c>
      <c r="P10" s="18">
        <f t="shared" si="4"/>
        <v>0</v>
      </c>
      <c r="Q10" s="16">
        <f t="shared" si="2"/>
        <v>5</v>
      </c>
      <c r="R10" s="61" t="str">
        <f>VLOOKUP($C10,Items!$A$2:$AE$10014,11,FALSE)</f>
        <v>Material</v>
      </c>
    </row>
    <row r="11" spans="1:18" x14ac:dyDescent="0.25">
      <c r="A11" s="6">
        <f>0.0625*A4</f>
        <v>6.25E-2</v>
      </c>
      <c r="B11" s="7" t="str">
        <f>VLOOKUP($C11,Items!$A$2:$AE$10014,5,FALSE)</f>
        <v>ea</v>
      </c>
      <c r="C11" s="41" t="s">
        <v>50</v>
      </c>
      <c r="D11" s="6" t="s">
        <v>154</v>
      </c>
      <c r="E11" s="28">
        <f>VLOOKUP($C11,Items!$A$2:$AE$10014,6,FALSE)</f>
        <v>0</v>
      </c>
      <c r="F11" s="28">
        <f>VLOOKUP($C11,Items!$A$2:$AE$10014,7,FALSE)</f>
        <v>0</v>
      </c>
      <c r="G11" s="28">
        <f>VLOOKUP($C11,Items!$A$2:$AE$10014,8,FALSE)</f>
        <v>0</v>
      </c>
      <c r="H11" s="28">
        <f>IF(E11=0,+VLOOKUP($C11,Items!$A$2:$AE$10014,9,FALSE),+VLOOKUP($C11,Items!$A$2:$AE$10014,9,FALSE)*E11*F11*G11)</f>
        <v>0</v>
      </c>
      <c r="I11" s="29">
        <f>IF(E11=0,+VLOOKUP($C11,Items!$A$2:$AE$10014,10,FALSE)*A11,(A11*H11))</f>
        <v>0</v>
      </c>
      <c r="J11" s="8">
        <f>IF(E11=0,+VLOOKUP($C11,Items!$A$2:$AE$10014,3,FALSE),+VLOOKUP($C11,Items!$A$2:$AE$10014,3,FALSE)*H11)</f>
        <v>30</v>
      </c>
      <c r="K11" s="16">
        <f t="shared" si="0"/>
        <v>1.875</v>
      </c>
      <c r="L11" s="36">
        <f t="shared" si="3"/>
        <v>0</v>
      </c>
      <c r="M11" s="16">
        <f t="shared" si="1"/>
        <v>0</v>
      </c>
      <c r="N11" s="17">
        <f>VLOOKUP($C11,Items!$A$2:$AE$10014,4,FALSE)*A11</f>
        <v>0</v>
      </c>
      <c r="O11" s="9">
        <v>0</v>
      </c>
      <c r="P11" s="18">
        <f t="shared" si="4"/>
        <v>0</v>
      </c>
      <c r="Q11" s="16">
        <f t="shared" si="2"/>
        <v>2</v>
      </c>
      <c r="R11" s="61" t="str">
        <f>VLOOKUP($C11,Items!$A$2:$AE$10014,11,FALSE)</f>
        <v>Material</v>
      </c>
    </row>
    <row r="15" spans="1:18" ht="15.75" x14ac:dyDescent="0.25">
      <c r="A15" s="74">
        <v>1</v>
      </c>
      <c r="B15" s="74" t="s">
        <v>0</v>
      </c>
      <c r="C15" s="75" t="s">
        <v>199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1:18" ht="39" x14ac:dyDescent="0.25">
      <c r="A16" s="1" t="s">
        <v>7</v>
      </c>
      <c r="B16" s="1" t="s">
        <v>3</v>
      </c>
      <c r="C16" s="1" t="s">
        <v>10</v>
      </c>
      <c r="D16" s="1" t="s">
        <v>4</v>
      </c>
      <c r="E16" s="3" t="s">
        <v>21</v>
      </c>
      <c r="F16" s="3" t="s">
        <v>26</v>
      </c>
      <c r="G16" s="3" t="s">
        <v>27</v>
      </c>
      <c r="H16" s="3" t="s">
        <v>145</v>
      </c>
      <c r="I16" s="3" t="s">
        <v>23</v>
      </c>
      <c r="J16" s="3" t="s">
        <v>146</v>
      </c>
      <c r="K16" s="3" t="s">
        <v>15</v>
      </c>
      <c r="L16" s="3" t="s">
        <v>8</v>
      </c>
      <c r="M16" s="3" t="s">
        <v>5</v>
      </c>
      <c r="N16" s="3" t="s">
        <v>11</v>
      </c>
      <c r="O16" s="3" t="s">
        <v>2</v>
      </c>
      <c r="P16" s="1" t="s">
        <v>1</v>
      </c>
      <c r="Q16" s="3" t="s">
        <v>6</v>
      </c>
      <c r="R16" s="3" t="s">
        <v>18</v>
      </c>
    </row>
    <row r="17" spans="1:18" x14ac:dyDescent="0.25">
      <c r="A17" s="6">
        <f>1*A15</f>
        <v>1</v>
      </c>
      <c r="B17" s="7" t="str">
        <f>VLOOKUP($C17,Items!$A$2:$AE$10014,5,FALSE)</f>
        <v>ea</v>
      </c>
      <c r="C17" s="41" t="s">
        <v>42</v>
      </c>
      <c r="D17" s="6"/>
      <c r="E17" s="28">
        <v>49</v>
      </c>
      <c r="F17" s="28">
        <v>84</v>
      </c>
      <c r="G17" s="28">
        <v>2.0000000000000001E-4</v>
      </c>
      <c r="H17" s="28">
        <f>IF(E17=0,+VLOOKUP($C17,Items!$A$2:$AE$10014,9,FALSE),+VLOOKUP($C17,Items!$A$2:$AE$10014,9,FALSE)*E17*F17*G17)</f>
        <v>0.34300274400000003</v>
      </c>
      <c r="I17" s="29">
        <f>IF(E17=0,+VLOOKUP($C17,Items!$A$2:$AE$10014,10,FALSE)*A17,(A17*H17))</f>
        <v>0.34300274400000003</v>
      </c>
      <c r="J17" s="8">
        <f>IF(E17=0,+VLOOKUP($C17,Items!$A$2:$AE$10014,3,FALSE),+VLOOKUP($C17,Items!$A$2:$AE$10014,3,FALSE)*H17)</f>
        <v>0.60025480200000003</v>
      </c>
      <c r="K17" s="16">
        <f t="shared" ref="K17:K22" si="5">A17*J17</f>
        <v>0.60025480200000003</v>
      </c>
      <c r="L17" s="36">
        <f>IF(R17="Labor",$D$2,$D$3)</f>
        <v>0</v>
      </c>
      <c r="M17" s="16">
        <f t="shared" ref="M17:M22" si="6">K17*L17</f>
        <v>0</v>
      </c>
      <c r="N17" s="17">
        <f>VLOOKUP($C17,Items!$A$2:$AE$10014,4,FALSE)*A17</f>
        <v>0</v>
      </c>
      <c r="O17" s="9">
        <v>0</v>
      </c>
      <c r="P17" s="18">
        <f t="shared" ref="P17:P22" si="7">IF(O17=1,(K17+M17)*($D$1),0)</f>
        <v>0</v>
      </c>
      <c r="Q17" s="16">
        <f t="shared" ref="Q17:Q22" si="8">ROUNDUP(K17+M17+N17+P17,0)</f>
        <v>1</v>
      </c>
      <c r="R17" s="61" t="str">
        <f>VLOOKUP($C17,Items!$A$2:$AE$10014,11,FALSE)</f>
        <v>Material</v>
      </c>
    </row>
    <row r="18" spans="1:18" x14ac:dyDescent="0.25">
      <c r="A18" s="6">
        <f>1*A15</f>
        <v>1</v>
      </c>
      <c r="B18" s="7" t="str">
        <f>VLOOKUP($C18,Items!$A$2:$AE$10014,5,FALSE)</f>
        <v>ea</v>
      </c>
      <c r="C18" s="41" t="s">
        <v>203</v>
      </c>
      <c r="D18" s="6" t="str">
        <f>VLOOKUP($C18,Items!$A$2:$AE$10014,2,FALSE)</f>
        <v>4' x 9' x 1/2" GWB</v>
      </c>
      <c r="E18" s="28">
        <f>VLOOKUP($C18,Items!$A$2:$AE$10014,6,FALSE)</f>
        <v>48</v>
      </c>
      <c r="F18" s="28">
        <f>VLOOKUP($C18,Items!$A$2:$AE$10014,7,FALSE)</f>
        <v>108</v>
      </c>
      <c r="G18" s="28">
        <f>VLOOKUP($C18,Items!$A$2:$AE$10014,8,FALSE)</f>
        <v>0.5</v>
      </c>
      <c r="H18" s="28">
        <f>IF(E18=0,+VLOOKUP($C18,Items!$A$2:$AE$10014,9,FALSE),+VLOOKUP($C18,Items!$A$2:$AE$10014,9,FALSE)*E18*F18*G18)</f>
        <v>75.608640000000008</v>
      </c>
      <c r="I18" s="29">
        <f>IF(E18=0,+VLOOKUP($C18,Items!$A$2:$AE$10014,10,FALSE)*A18,(A18*H18))</f>
        <v>75.608640000000008</v>
      </c>
      <c r="J18" s="8">
        <f>IF(E18=0,+VLOOKUP($C18,Items!$A$2:$AE$10014,3,FALSE),+VLOOKUP($C18,Items!$A$2:$AE$10014,3,FALSE)*H18)</f>
        <v>16.633900800000003</v>
      </c>
      <c r="K18" s="16">
        <f t="shared" si="5"/>
        <v>16.633900800000003</v>
      </c>
      <c r="L18" s="36">
        <f t="shared" ref="L18:L22" si="9">IF(R18="Labor",$D$2,$D$3)</f>
        <v>0</v>
      </c>
      <c r="M18" s="16">
        <f t="shared" si="6"/>
        <v>0</v>
      </c>
      <c r="N18" s="17">
        <f>VLOOKUP($C18,Items!$A$2:$AE$10014,4,FALSE)*A18</f>
        <v>0</v>
      </c>
      <c r="O18" s="9">
        <v>0</v>
      </c>
      <c r="P18" s="18">
        <f t="shared" si="7"/>
        <v>0</v>
      </c>
      <c r="Q18" s="16">
        <f t="shared" si="8"/>
        <v>17</v>
      </c>
      <c r="R18" s="61" t="str">
        <f>VLOOKUP($C18,Items!$A$2:$AE$10014,11,FALSE)</f>
        <v>Material</v>
      </c>
    </row>
    <row r="19" spans="1:18" x14ac:dyDescent="0.25">
      <c r="A19" s="6">
        <f>0.2*A15</f>
        <v>0.2</v>
      </c>
      <c r="B19" s="7" t="str">
        <f>VLOOKUP($C19,Items!$A$2:$AE$10014,5,FALSE)</f>
        <v>mh</v>
      </c>
      <c r="C19" s="41" t="s">
        <v>46</v>
      </c>
      <c r="D19" s="6" t="s">
        <v>152</v>
      </c>
      <c r="E19" s="28">
        <f>VLOOKUP($C19,Items!$A$2:$AE$10014,6,FALSE)</f>
        <v>0</v>
      </c>
      <c r="F19" s="28">
        <f>VLOOKUP($C19,Items!$A$2:$AE$10014,7,FALSE)</f>
        <v>0</v>
      </c>
      <c r="G19" s="28">
        <f>VLOOKUP($C19,Items!$A$2:$AE$10014,8,FALSE)</f>
        <v>0</v>
      </c>
      <c r="H19" s="28">
        <f>IF(E19=0,+VLOOKUP($C19,Items!$A$2:$AE$10014,9,FALSE),+VLOOKUP($C19,Items!$A$2:$AE$10014,9,FALSE)*E19*F19*G19)</f>
        <v>0</v>
      </c>
      <c r="I19" s="29">
        <f>IF(E19=0,+VLOOKUP($C19,Items!$A$2:$AE$10014,10,FALSE)*A19,(A19*H19))</f>
        <v>0</v>
      </c>
      <c r="J19" s="8">
        <f>IF(E19=0,+VLOOKUP($C19,Items!$A$2:$AE$10014,3,FALSE),+VLOOKUP($C19,Items!$A$2:$AE$10014,3,FALSE)*H19)</f>
        <v>38</v>
      </c>
      <c r="K19" s="16">
        <f t="shared" si="5"/>
        <v>7.6000000000000005</v>
      </c>
      <c r="L19" s="36">
        <f t="shared" si="9"/>
        <v>0</v>
      </c>
      <c r="M19" s="16">
        <f t="shared" si="6"/>
        <v>0</v>
      </c>
      <c r="N19" s="17">
        <f>VLOOKUP($C19,Items!$A$2:$AE$10014,4,FALSE)*A19</f>
        <v>3.2</v>
      </c>
      <c r="O19" s="9">
        <v>0</v>
      </c>
      <c r="P19" s="18">
        <f t="shared" si="7"/>
        <v>0</v>
      </c>
      <c r="Q19" s="16">
        <f t="shared" si="8"/>
        <v>11</v>
      </c>
      <c r="R19" s="61" t="str">
        <f>VLOOKUP($C19,Items!$A$2:$AE$10014,11,FALSE)</f>
        <v>Labor</v>
      </c>
    </row>
    <row r="20" spans="1:18" x14ac:dyDescent="0.25">
      <c r="A20" s="6">
        <f>0.3*A15</f>
        <v>0.3</v>
      </c>
      <c r="B20" s="7" t="str">
        <f>VLOOKUP($C20,Items!$A$2:$AE$10014,5,FALSE)</f>
        <v>gal</v>
      </c>
      <c r="C20" s="41" t="s">
        <v>28</v>
      </c>
      <c r="D20" s="6" t="str">
        <f>VLOOKUP($C20,Items!$A$2:$AE$10014,2,FALSE)</f>
        <v>Cold Press Glue</v>
      </c>
      <c r="E20" s="28">
        <f>VLOOKUP($C20,Items!$A$2:$AE$10014,6,FALSE)</f>
        <v>0</v>
      </c>
      <c r="F20" s="28">
        <f>VLOOKUP($C20,Items!$A$2:$AE$10014,7,FALSE)</f>
        <v>0</v>
      </c>
      <c r="G20" s="28">
        <f>VLOOKUP($C20,Items!$A$2:$AE$10014,8,FALSE)</f>
        <v>0</v>
      </c>
      <c r="H20" s="28">
        <f>IF(E20=0,+VLOOKUP($C20,Items!$A$2:$AE$10014,9,FALSE),+VLOOKUP($C20,Items!$A$2:$AE$10014,9,FALSE)*E20*F20*G20)</f>
        <v>0</v>
      </c>
      <c r="I20" s="29">
        <f>IF(E20=0,+VLOOKUP($C20,Items!$A$2:$AE$10014,10,FALSE)*A20,(A20*H20))</f>
        <v>0</v>
      </c>
      <c r="J20" s="8">
        <f>IF(E20=0,+VLOOKUP($C20,Items!$A$2:$AE$10014,3,FALSE),+VLOOKUP($C20,Items!$A$2:$AE$10014,3,FALSE)*H20)</f>
        <v>18</v>
      </c>
      <c r="K20" s="16">
        <f t="shared" si="5"/>
        <v>5.3999999999999995</v>
      </c>
      <c r="L20" s="36">
        <f t="shared" si="9"/>
        <v>0</v>
      </c>
      <c r="M20" s="16">
        <f t="shared" si="6"/>
        <v>0</v>
      </c>
      <c r="N20" s="17">
        <f>VLOOKUP($C20,Items!$A$2:$AE$10014,4,FALSE)*A20</f>
        <v>0</v>
      </c>
      <c r="O20" s="9">
        <v>0</v>
      </c>
      <c r="P20" s="18">
        <f t="shared" si="7"/>
        <v>0</v>
      </c>
      <c r="Q20" s="16">
        <f t="shared" si="8"/>
        <v>6</v>
      </c>
      <c r="R20" s="61" t="str">
        <f>VLOOKUP($C20,Items!$A$2:$AE$10014,11,FALSE)</f>
        <v>Material</v>
      </c>
    </row>
    <row r="21" spans="1:18" x14ac:dyDescent="0.25">
      <c r="A21" s="6">
        <f>0.0625*A15</f>
        <v>6.25E-2</v>
      </c>
      <c r="B21" s="7" t="str">
        <f>VLOOKUP($C21,Items!$A$2:$AE$10014,5,FALSE)</f>
        <v>ea</v>
      </c>
      <c r="C21" s="41" t="s">
        <v>43</v>
      </c>
      <c r="D21" s="6" t="str">
        <f>VLOOKUP($C21,Items!$A$2:$AE$10014,2,FALSE)</f>
        <v>Pallet - 9'</v>
      </c>
      <c r="E21" s="28">
        <f>VLOOKUP($C21,Items!$A$2:$AE$10014,6,FALSE)</f>
        <v>0</v>
      </c>
      <c r="F21" s="28">
        <f>VLOOKUP($C21,Items!$A$2:$AE$10014,7,FALSE)</f>
        <v>0</v>
      </c>
      <c r="G21" s="28">
        <f>VLOOKUP($C21,Items!$A$2:$AE$10014,8,FALSE)</f>
        <v>0</v>
      </c>
      <c r="H21" s="28">
        <f>IF(E21=0,+VLOOKUP($C21,Items!$A$2:$AE$10014,9,FALSE),+VLOOKUP($C21,Items!$A$2:$AE$10014,9,FALSE)*E21*F21*G21)</f>
        <v>0</v>
      </c>
      <c r="I21" s="29">
        <f>IF(E21=0,+VLOOKUP($C21,Items!$A$2:$AE$10014,10,FALSE)*A21,(A21*H21))</f>
        <v>3.125</v>
      </c>
      <c r="J21" s="8">
        <f>IF(E21=0,+VLOOKUP($C21,Items!$A$2:$AE$10014,3,FALSE),+VLOOKUP($C21,Items!$A$2:$AE$10014,3,FALSE)*H21)</f>
        <v>65</v>
      </c>
      <c r="K21" s="16">
        <f t="shared" si="5"/>
        <v>4.0625</v>
      </c>
      <c r="L21" s="36">
        <f t="shared" si="9"/>
        <v>0</v>
      </c>
      <c r="M21" s="16">
        <f t="shared" si="6"/>
        <v>0</v>
      </c>
      <c r="N21" s="17">
        <f>VLOOKUP($C21,Items!$A$2:$AE$10014,4,FALSE)*A21</f>
        <v>0</v>
      </c>
      <c r="O21" s="9">
        <v>0</v>
      </c>
      <c r="P21" s="18">
        <f t="shared" si="7"/>
        <v>0</v>
      </c>
      <c r="Q21" s="16">
        <f t="shared" si="8"/>
        <v>5</v>
      </c>
      <c r="R21" s="61" t="str">
        <f>VLOOKUP($C21,Items!$A$2:$AE$10014,11,FALSE)</f>
        <v>Material</v>
      </c>
    </row>
    <row r="22" spans="1:18" x14ac:dyDescent="0.25">
      <c r="A22" s="6">
        <f>0.0625*A15</f>
        <v>6.25E-2</v>
      </c>
      <c r="B22" s="7" t="str">
        <f>VLOOKUP($C22,Items!$A$2:$AE$10014,5,FALSE)</f>
        <v>ea</v>
      </c>
      <c r="C22" s="41" t="s">
        <v>50</v>
      </c>
      <c r="D22" s="6" t="s">
        <v>154</v>
      </c>
      <c r="E22" s="28">
        <f>VLOOKUP($C22,Items!$A$2:$AE$10014,6,FALSE)</f>
        <v>0</v>
      </c>
      <c r="F22" s="28">
        <f>VLOOKUP($C22,Items!$A$2:$AE$10014,7,FALSE)</f>
        <v>0</v>
      </c>
      <c r="G22" s="28">
        <f>VLOOKUP($C22,Items!$A$2:$AE$10014,8,FALSE)</f>
        <v>0</v>
      </c>
      <c r="H22" s="28">
        <f>IF(E22=0,+VLOOKUP($C22,Items!$A$2:$AE$10014,9,FALSE),+VLOOKUP($C22,Items!$A$2:$AE$10014,9,FALSE)*E22*F22*G22)</f>
        <v>0</v>
      </c>
      <c r="I22" s="29">
        <f>IF(E22=0,+VLOOKUP($C22,Items!$A$2:$AE$10014,10,FALSE)*A22,(A22*H22))</f>
        <v>0</v>
      </c>
      <c r="J22" s="8">
        <f>IF(E22=0,+VLOOKUP($C22,Items!$A$2:$AE$10014,3,FALSE),+VLOOKUP($C22,Items!$A$2:$AE$10014,3,FALSE)*H22)</f>
        <v>30</v>
      </c>
      <c r="K22" s="16">
        <f t="shared" si="5"/>
        <v>1.875</v>
      </c>
      <c r="L22" s="36">
        <f t="shared" si="9"/>
        <v>0</v>
      </c>
      <c r="M22" s="16">
        <f t="shared" si="6"/>
        <v>0</v>
      </c>
      <c r="N22" s="17">
        <f>VLOOKUP($C22,Items!$A$2:$AE$10014,4,FALSE)*A22</f>
        <v>0</v>
      </c>
      <c r="O22" s="9">
        <v>0</v>
      </c>
      <c r="P22" s="18">
        <f t="shared" si="7"/>
        <v>0</v>
      </c>
      <c r="Q22" s="16">
        <f t="shared" si="8"/>
        <v>2</v>
      </c>
      <c r="R22" s="61" t="str">
        <f>VLOOKUP($C22,Items!$A$2:$AE$10014,11,FALSE)</f>
        <v>Material</v>
      </c>
    </row>
    <row r="26" spans="1:18" ht="15.75" x14ac:dyDescent="0.25">
      <c r="A26" s="74">
        <v>1</v>
      </c>
      <c r="B26" s="74" t="s">
        <v>0</v>
      </c>
      <c r="C26" s="75" t="s">
        <v>200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</row>
    <row r="27" spans="1:18" ht="39" x14ac:dyDescent="0.25">
      <c r="A27" s="1" t="s">
        <v>7</v>
      </c>
      <c r="B27" s="1" t="s">
        <v>3</v>
      </c>
      <c r="C27" s="1" t="s">
        <v>10</v>
      </c>
      <c r="D27" s="1" t="s">
        <v>4</v>
      </c>
      <c r="E27" s="3" t="s">
        <v>21</v>
      </c>
      <c r="F27" s="3" t="s">
        <v>26</v>
      </c>
      <c r="G27" s="3" t="s">
        <v>27</v>
      </c>
      <c r="H27" s="3" t="s">
        <v>145</v>
      </c>
      <c r="I27" s="3" t="s">
        <v>23</v>
      </c>
      <c r="J27" s="3" t="s">
        <v>146</v>
      </c>
      <c r="K27" s="3" t="s">
        <v>15</v>
      </c>
      <c r="L27" s="3" t="s">
        <v>8</v>
      </c>
      <c r="M27" s="3" t="s">
        <v>5</v>
      </c>
      <c r="N27" s="3" t="s">
        <v>11</v>
      </c>
      <c r="O27" s="3" t="s">
        <v>2</v>
      </c>
      <c r="P27" s="1" t="s">
        <v>1</v>
      </c>
      <c r="Q27" s="3" t="s">
        <v>6</v>
      </c>
      <c r="R27" s="3" t="s">
        <v>18</v>
      </c>
    </row>
    <row r="28" spans="1:18" x14ac:dyDescent="0.25">
      <c r="A28" s="6">
        <f>1*A26</f>
        <v>1</v>
      </c>
      <c r="B28" s="7" t="str">
        <f>VLOOKUP($C28,Items!$A$2:$AE$10014,5,FALSE)</f>
        <v>ea</v>
      </c>
      <c r="C28" s="41" t="s">
        <v>42</v>
      </c>
      <c r="D28" s="6"/>
      <c r="E28" s="28">
        <v>49</v>
      </c>
      <c r="F28" s="28">
        <v>84</v>
      </c>
      <c r="G28" s="28">
        <v>2.0000000000000001E-4</v>
      </c>
      <c r="H28" s="28">
        <f>IF(E28=0,+VLOOKUP($C28,Items!$A$2:$AE$10014,9,FALSE),+VLOOKUP($C28,Items!$A$2:$AE$10014,9,FALSE)*E28*F28*G28)</f>
        <v>0.34300274400000003</v>
      </c>
      <c r="I28" s="29">
        <f>IF(E28=0,+VLOOKUP($C28,Items!$A$2:$AE$10014,10,FALSE)*A28,(A28*H28))</f>
        <v>0.34300274400000003</v>
      </c>
      <c r="J28" s="8">
        <f>IF(E28=0,+VLOOKUP($C28,Items!$A$2:$AE$10014,3,FALSE),+VLOOKUP($C28,Items!$A$2:$AE$10014,3,FALSE)*H28)</f>
        <v>0.60025480200000003</v>
      </c>
      <c r="K28" s="16">
        <f t="shared" ref="K28:K33" si="10">A28*J28</f>
        <v>0.60025480200000003</v>
      </c>
      <c r="L28" s="36">
        <f>IF(R28="Labor",$D$2,$D$3)</f>
        <v>0</v>
      </c>
      <c r="M28" s="16">
        <f t="shared" ref="M28:M33" si="11">K28*L28</f>
        <v>0</v>
      </c>
      <c r="N28" s="17">
        <f>VLOOKUP($C28,Items!$A$2:$AE$10014,4,FALSE)*A28</f>
        <v>0</v>
      </c>
      <c r="O28" s="9">
        <v>0</v>
      </c>
      <c r="P28" s="18">
        <f t="shared" ref="P28:P33" si="12">IF(O28=1,(K28+M28)*($D$1),0)</f>
        <v>0</v>
      </c>
      <c r="Q28" s="16">
        <f t="shared" ref="Q28:Q33" si="13">ROUNDUP(K28+M28+N28+P28,0)</f>
        <v>1</v>
      </c>
      <c r="R28" s="61" t="str">
        <f>VLOOKUP($C28,Items!$A$2:$AE$10014,11,FALSE)</f>
        <v>Material</v>
      </c>
    </row>
    <row r="29" spans="1:18" x14ac:dyDescent="0.25">
      <c r="A29" s="6">
        <f>1*A26</f>
        <v>1</v>
      </c>
      <c r="B29" s="7" t="str">
        <f>VLOOKUP($C29,Items!$A$2:$AE$10014,5,FALSE)</f>
        <v>ea</v>
      </c>
      <c r="C29" s="41" t="s">
        <v>204</v>
      </c>
      <c r="D29" s="6" t="str">
        <f>VLOOKUP($C29,Items!$A$2:$AE$10014,2,FALSE)</f>
        <v>4' x 10' x 1/2" GWB</v>
      </c>
      <c r="E29" s="28">
        <f>VLOOKUP($C29,Items!$A$2:$AE$10014,6,FALSE)</f>
        <v>48</v>
      </c>
      <c r="F29" s="28">
        <f>VLOOKUP($C29,Items!$A$2:$AE$10014,7,FALSE)</f>
        <v>120</v>
      </c>
      <c r="G29" s="28">
        <f>VLOOKUP($C29,Items!$A$2:$AE$10014,8,FALSE)</f>
        <v>0.5</v>
      </c>
      <c r="H29" s="28">
        <f>IF(E29=0,+VLOOKUP($C29,Items!$A$2:$AE$10014,9,FALSE),+VLOOKUP($C29,Items!$A$2:$AE$10014,9,FALSE)*E29*F29*G29)</f>
        <v>84.009600000000006</v>
      </c>
      <c r="I29" s="29">
        <f>IF(E29=0,+VLOOKUP($C29,Items!$A$2:$AE$10014,10,FALSE)*A29,(A29*H29))</f>
        <v>84.009600000000006</v>
      </c>
      <c r="J29" s="8">
        <f>IF(E29=0,+VLOOKUP($C29,Items!$A$2:$AE$10014,3,FALSE),+VLOOKUP($C29,Items!$A$2:$AE$10014,3,FALSE)*H29)</f>
        <v>18.482112000000001</v>
      </c>
      <c r="K29" s="16">
        <f t="shared" si="10"/>
        <v>18.482112000000001</v>
      </c>
      <c r="L29" s="36">
        <f t="shared" ref="L29:L33" si="14">IF(R29="Labor",$D$2,$D$3)</f>
        <v>0</v>
      </c>
      <c r="M29" s="16">
        <f t="shared" si="11"/>
        <v>0</v>
      </c>
      <c r="N29" s="17">
        <f>VLOOKUP($C29,Items!$A$2:$AE$10014,4,FALSE)*A29</f>
        <v>0</v>
      </c>
      <c r="O29" s="9">
        <v>0</v>
      </c>
      <c r="P29" s="18">
        <f t="shared" si="12"/>
        <v>0</v>
      </c>
      <c r="Q29" s="16">
        <f t="shared" si="13"/>
        <v>19</v>
      </c>
      <c r="R29" s="61" t="str">
        <f>VLOOKUP($C29,Items!$A$2:$AE$10014,11,FALSE)</f>
        <v>Material</v>
      </c>
    </row>
    <row r="30" spans="1:18" x14ac:dyDescent="0.25">
      <c r="A30" s="6">
        <f>0.2*A26</f>
        <v>0.2</v>
      </c>
      <c r="B30" s="7" t="str">
        <f>VLOOKUP($C30,Items!$A$2:$AE$10014,5,FALSE)</f>
        <v>mh</v>
      </c>
      <c r="C30" s="41" t="s">
        <v>46</v>
      </c>
      <c r="D30" s="6" t="s">
        <v>152</v>
      </c>
      <c r="E30" s="28">
        <f>VLOOKUP($C30,Items!$A$2:$AE$10014,6,FALSE)</f>
        <v>0</v>
      </c>
      <c r="F30" s="28">
        <f>VLOOKUP($C30,Items!$A$2:$AE$10014,7,FALSE)</f>
        <v>0</v>
      </c>
      <c r="G30" s="28">
        <f>VLOOKUP($C30,Items!$A$2:$AE$10014,8,FALSE)</f>
        <v>0</v>
      </c>
      <c r="H30" s="28">
        <f>IF(E30=0,+VLOOKUP($C30,Items!$A$2:$AE$10014,9,FALSE),+VLOOKUP($C30,Items!$A$2:$AE$10014,9,FALSE)*E30*F30*G30)</f>
        <v>0</v>
      </c>
      <c r="I30" s="29">
        <f>IF(E30=0,+VLOOKUP($C30,Items!$A$2:$AE$10014,10,FALSE)*A30,(A30*H30))</f>
        <v>0</v>
      </c>
      <c r="J30" s="8">
        <f>IF(E30=0,+VLOOKUP($C30,Items!$A$2:$AE$10014,3,FALSE),+VLOOKUP($C30,Items!$A$2:$AE$10014,3,FALSE)*H30)</f>
        <v>38</v>
      </c>
      <c r="K30" s="16">
        <f t="shared" si="10"/>
        <v>7.6000000000000005</v>
      </c>
      <c r="L30" s="36">
        <f t="shared" si="14"/>
        <v>0</v>
      </c>
      <c r="M30" s="16">
        <f t="shared" si="11"/>
        <v>0</v>
      </c>
      <c r="N30" s="17">
        <f>VLOOKUP($C30,Items!$A$2:$AE$10014,4,FALSE)*A30</f>
        <v>3.2</v>
      </c>
      <c r="O30" s="9">
        <v>0</v>
      </c>
      <c r="P30" s="18">
        <f t="shared" si="12"/>
        <v>0</v>
      </c>
      <c r="Q30" s="16">
        <f t="shared" si="13"/>
        <v>11</v>
      </c>
      <c r="R30" s="61" t="str">
        <f>VLOOKUP($C30,Items!$A$2:$AE$10014,11,FALSE)</f>
        <v>Labor</v>
      </c>
    </row>
    <row r="31" spans="1:18" x14ac:dyDescent="0.25">
      <c r="A31" s="6">
        <f>0.3*A26</f>
        <v>0.3</v>
      </c>
      <c r="B31" s="7" t="str">
        <f>VLOOKUP($C31,Items!$A$2:$AE$10014,5,FALSE)</f>
        <v>gal</v>
      </c>
      <c r="C31" s="41" t="s">
        <v>28</v>
      </c>
      <c r="D31" s="6" t="str">
        <f>VLOOKUP($C31,Items!$A$2:$AE$10014,2,FALSE)</f>
        <v>Cold Press Glue</v>
      </c>
      <c r="E31" s="28">
        <f>VLOOKUP($C31,Items!$A$2:$AE$10014,6,FALSE)</f>
        <v>0</v>
      </c>
      <c r="F31" s="28">
        <f>VLOOKUP($C31,Items!$A$2:$AE$10014,7,FALSE)</f>
        <v>0</v>
      </c>
      <c r="G31" s="28">
        <f>VLOOKUP($C31,Items!$A$2:$AE$10014,8,FALSE)</f>
        <v>0</v>
      </c>
      <c r="H31" s="28">
        <f>IF(E31=0,+VLOOKUP($C31,Items!$A$2:$AE$10014,9,FALSE),+VLOOKUP($C31,Items!$A$2:$AE$10014,9,FALSE)*E31*F31*G31)</f>
        <v>0</v>
      </c>
      <c r="I31" s="29">
        <f>IF(E31=0,+VLOOKUP($C31,Items!$A$2:$AE$10014,10,FALSE)*A31,(A31*H31))</f>
        <v>0</v>
      </c>
      <c r="J31" s="8">
        <f>IF(E31=0,+VLOOKUP($C31,Items!$A$2:$AE$10014,3,FALSE),+VLOOKUP($C31,Items!$A$2:$AE$10014,3,FALSE)*H31)</f>
        <v>18</v>
      </c>
      <c r="K31" s="16">
        <f t="shared" si="10"/>
        <v>5.3999999999999995</v>
      </c>
      <c r="L31" s="36">
        <f t="shared" si="14"/>
        <v>0</v>
      </c>
      <c r="M31" s="16">
        <f t="shared" si="11"/>
        <v>0</v>
      </c>
      <c r="N31" s="17">
        <f>VLOOKUP($C31,Items!$A$2:$AE$10014,4,FALSE)*A31</f>
        <v>0</v>
      </c>
      <c r="O31" s="9">
        <v>0</v>
      </c>
      <c r="P31" s="18">
        <f t="shared" si="12"/>
        <v>0</v>
      </c>
      <c r="Q31" s="16">
        <f t="shared" si="13"/>
        <v>6</v>
      </c>
      <c r="R31" s="61" t="str">
        <f>VLOOKUP($C31,Items!$A$2:$AE$10014,11,FALSE)</f>
        <v>Material</v>
      </c>
    </row>
    <row r="32" spans="1:18" x14ac:dyDescent="0.25">
      <c r="A32" s="6">
        <f>0.0625*A26</f>
        <v>6.25E-2</v>
      </c>
      <c r="B32" s="7" t="str">
        <f>VLOOKUP($C32,Items!$A$2:$AE$10014,5,FALSE)</f>
        <v>ea</v>
      </c>
      <c r="C32" s="41" t="s">
        <v>44</v>
      </c>
      <c r="D32" s="6" t="str">
        <f>VLOOKUP($C32,Items!$A$2:$AE$10014,2,FALSE)</f>
        <v>Pallet - 10'</v>
      </c>
      <c r="E32" s="28">
        <f>VLOOKUP($C32,Items!$A$2:$AE$10014,6,FALSE)</f>
        <v>0</v>
      </c>
      <c r="F32" s="28">
        <f>VLOOKUP($C32,Items!$A$2:$AE$10014,7,FALSE)</f>
        <v>0</v>
      </c>
      <c r="G32" s="28">
        <f>VLOOKUP($C32,Items!$A$2:$AE$10014,8,FALSE)</f>
        <v>0</v>
      </c>
      <c r="H32" s="28">
        <f>IF(E32=0,+VLOOKUP($C32,Items!$A$2:$AE$10014,9,FALSE),+VLOOKUP($C32,Items!$A$2:$AE$10014,9,FALSE)*E32*F32*G32)</f>
        <v>0</v>
      </c>
      <c r="I32" s="29">
        <f>IF(E32=0,+VLOOKUP($C32,Items!$A$2:$AE$10014,10,FALSE)*A32,(A32*H32))</f>
        <v>3.125</v>
      </c>
      <c r="J32" s="8">
        <f>IF(E32=0,+VLOOKUP($C32,Items!$A$2:$AE$10014,3,FALSE),+VLOOKUP($C32,Items!$A$2:$AE$10014,3,FALSE)*H32)</f>
        <v>65</v>
      </c>
      <c r="K32" s="16">
        <f t="shared" si="10"/>
        <v>4.0625</v>
      </c>
      <c r="L32" s="36">
        <f t="shared" si="14"/>
        <v>0</v>
      </c>
      <c r="M32" s="16">
        <f t="shared" si="11"/>
        <v>0</v>
      </c>
      <c r="N32" s="17">
        <f>VLOOKUP($C32,Items!$A$2:$AE$10014,4,FALSE)*A32</f>
        <v>0</v>
      </c>
      <c r="O32" s="9">
        <v>0</v>
      </c>
      <c r="P32" s="18">
        <f t="shared" si="12"/>
        <v>0</v>
      </c>
      <c r="Q32" s="16">
        <f t="shared" si="13"/>
        <v>5</v>
      </c>
      <c r="R32" s="61" t="str">
        <f>VLOOKUP($C32,Items!$A$2:$AE$10014,11,FALSE)</f>
        <v>Material</v>
      </c>
    </row>
    <row r="33" spans="1:18" x14ac:dyDescent="0.25">
      <c r="A33" s="6">
        <f>0.0625*A26</f>
        <v>6.25E-2</v>
      </c>
      <c r="B33" s="7" t="str">
        <f>VLOOKUP($C33,Items!$A$2:$AE$10014,5,FALSE)</f>
        <v>ea</v>
      </c>
      <c r="C33" s="41" t="s">
        <v>50</v>
      </c>
      <c r="D33" s="6" t="s">
        <v>154</v>
      </c>
      <c r="E33" s="28">
        <f>VLOOKUP($C33,Items!$A$2:$AE$10014,6,FALSE)</f>
        <v>0</v>
      </c>
      <c r="F33" s="28">
        <f>VLOOKUP($C33,Items!$A$2:$AE$10014,7,FALSE)</f>
        <v>0</v>
      </c>
      <c r="G33" s="28">
        <f>VLOOKUP($C33,Items!$A$2:$AE$10014,8,FALSE)</f>
        <v>0</v>
      </c>
      <c r="H33" s="28">
        <f>IF(E33=0,+VLOOKUP($C33,Items!$A$2:$AE$10014,9,FALSE),+VLOOKUP($C33,Items!$A$2:$AE$10014,9,FALSE)*E33*F33*G33)</f>
        <v>0</v>
      </c>
      <c r="I33" s="29">
        <f>IF(E33=0,+VLOOKUP($C33,Items!$A$2:$AE$10014,10,FALSE)*A33,(A33*H33))</f>
        <v>0</v>
      </c>
      <c r="J33" s="8">
        <f>IF(E33=0,+VLOOKUP($C33,Items!$A$2:$AE$10014,3,FALSE),+VLOOKUP($C33,Items!$A$2:$AE$10014,3,FALSE)*H33)</f>
        <v>30</v>
      </c>
      <c r="K33" s="16">
        <f t="shared" si="10"/>
        <v>1.875</v>
      </c>
      <c r="L33" s="36">
        <f t="shared" si="14"/>
        <v>0</v>
      </c>
      <c r="M33" s="16">
        <f t="shared" si="11"/>
        <v>0</v>
      </c>
      <c r="N33" s="17">
        <f>VLOOKUP($C33,Items!$A$2:$AE$10014,4,FALSE)*A33</f>
        <v>0</v>
      </c>
      <c r="O33" s="9">
        <v>0</v>
      </c>
      <c r="P33" s="18">
        <f t="shared" si="12"/>
        <v>0</v>
      </c>
      <c r="Q33" s="16">
        <f t="shared" si="13"/>
        <v>2</v>
      </c>
      <c r="R33" s="61" t="str">
        <f>VLOOKUP($C33,Items!$A$2:$AE$10014,11,FALSE)</f>
        <v>Material</v>
      </c>
    </row>
    <row r="37" spans="1:18" ht="15.75" x14ac:dyDescent="0.25">
      <c r="A37" s="74">
        <v>1</v>
      </c>
      <c r="B37" s="74" t="s">
        <v>0</v>
      </c>
      <c r="C37" s="75" t="s">
        <v>201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38" spans="1:18" ht="39" x14ac:dyDescent="0.25">
      <c r="A38" s="1" t="s">
        <v>7</v>
      </c>
      <c r="B38" s="1" t="s">
        <v>3</v>
      </c>
      <c r="C38" s="1" t="s">
        <v>10</v>
      </c>
      <c r="D38" s="1" t="s">
        <v>4</v>
      </c>
      <c r="E38" s="3" t="s">
        <v>21</v>
      </c>
      <c r="F38" s="3" t="s">
        <v>26</v>
      </c>
      <c r="G38" s="3" t="s">
        <v>27</v>
      </c>
      <c r="H38" s="3" t="s">
        <v>145</v>
      </c>
      <c r="I38" s="3" t="s">
        <v>23</v>
      </c>
      <c r="J38" s="3" t="s">
        <v>146</v>
      </c>
      <c r="K38" s="3" t="s">
        <v>15</v>
      </c>
      <c r="L38" s="3" t="s">
        <v>8</v>
      </c>
      <c r="M38" s="3" t="s">
        <v>5</v>
      </c>
      <c r="N38" s="3" t="s">
        <v>11</v>
      </c>
      <c r="O38" s="3" t="s">
        <v>2</v>
      </c>
      <c r="P38" s="1" t="s">
        <v>1</v>
      </c>
      <c r="Q38" s="3" t="s">
        <v>6</v>
      </c>
      <c r="R38" s="3" t="s">
        <v>18</v>
      </c>
    </row>
    <row r="39" spans="1:18" x14ac:dyDescent="0.25">
      <c r="A39" s="6">
        <f>1*A37</f>
        <v>1</v>
      </c>
      <c r="B39" s="7" t="str">
        <f>VLOOKUP($C39,Items!$A$2:$AE$10014,5,FALSE)</f>
        <v>ea</v>
      </c>
      <c r="C39" s="41" t="s">
        <v>42</v>
      </c>
      <c r="D39" s="6"/>
      <c r="E39" s="28">
        <v>49</v>
      </c>
      <c r="F39" s="28">
        <v>84</v>
      </c>
      <c r="G39" s="28">
        <v>2.0000000000000001E-4</v>
      </c>
      <c r="H39" s="28">
        <f>IF(E39=0,+VLOOKUP($C39,Items!$A$2:$AE$10014,9,FALSE),+VLOOKUP($C39,Items!$A$2:$AE$10014,9,FALSE)*E39*F39*G39)</f>
        <v>0.34300274400000003</v>
      </c>
      <c r="I39" s="29">
        <f>IF(E39=0,+VLOOKUP($C39,Items!$A$2:$AE$10014,10,FALSE)*A39,(A39*H39))</f>
        <v>0.34300274400000003</v>
      </c>
      <c r="J39" s="8">
        <f>IF(E39=0,+VLOOKUP($C39,Items!$A$2:$AE$10014,3,FALSE),+VLOOKUP($C39,Items!$A$2:$AE$10014,3,FALSE)*H39)</f>
        <v>0.60025480200000003</v>
      </c>
      <c r="K39" s="16">
        <f t="shared" ref="K39:K44" si="15">A39*J39</f>
        <v>0.60025480200000003</v>
      </c>
      <c r="L39" s="36">
        <f>IF(R39="Labor",$D$2,$D$3)</f>
        <v>0</v>
      </c>
      <c r="M39" s="16">
        <f t="shared" ref="M39:M44" si="16">K39*L39</f>
        <v>0</v>
      </c>
      <c r="N39" s="17">
        <f>VLOOKUP($C39,Items!$A$2:$AE$10014,4,FALSE)*A39</f>
        <v>0</v>
      </c>
      <c r="O39" s="9">
        <v>0</v>
      </c>
      <c r="P39" s="18">
        <f t="shared" ref="P39:P44" si="17">IF(O39=1,(K39+M39)*($D$1),0)</f>
        <v>0</v>
      </c>
      <c r="Q39" s="16">
        <f t="shared" ref="Q39:Q44" si="18">ROUNDUP(K39+M39+N39+P39,0)</f>
        <v>1</v>
      </c>
      <c r="R39" s="61" t="str">
        <f>VLOOKUP($C39,Items!$A$2:$AE$10014,11,FALSE)</f>
        <v>Material</v>
      </c>
    </row>
    <row r="40" spans="1:18" x14ac:dyDescent="0.25">
      <c r="A40" s="6">
        <f>1*A37</f>
        <v>1</v>
      </c>
      <c r="B40" s="7" t="str">
        <f>VLOOKUP($C40,Items!$A$2:$AE$10014,5,FALSE)</f>
        <v>ea</v>
      </c>
      <c r="C40" s="41" t="s">
        <v>205</v>
      </c>
      <c r="D40" s="6" t="str">
        <f>VLOOKUP($C40,Items!$A$2:$AE$10014,2,FALSE)</f>
        <v>4' x 12' x 1/2" GWB</v>
      </c>
      <c r="E40" s="28">
        <f>VLOOKUP($C40,Items!$A$2:$AE$10014,6,FALSE)</f>
        <v>48</v>
      </c>
      <c r="F40" s="28">
        <f>VLOOKUP($C40,Items!$A$2:$AE$10014,7,FALSE)</f>
        <v>144</v>
      </c>
      <c r="G40" s="28">
        <f>VLOOKUP($C40,Items!$A$2:$AE$10014,8,FALSE)</f>
        <v>0.5</v>
      </c>
      <c r="H40" s="28">
        <f>IF(E40=0,+VLOOKUP($C40,Items!$A$2:$AE$10014,9,FALSE),+VLOOKUP($C40,Items!$A$2:$AE$10014,9,FALSE)*E40*F40*G40)</f>
        <v>100.81152</v>
      </c>
      <c r="I40" s="29">
        <f>IF(E40=0,+VLOOKUP($C40,Items!$A$2:$AE$10014,10,FALSE)*A40,(A40*H40))</f>
        <v>100.81152</v>
      </c>
      <c r="J40" s="8">
        <f>IF(E40=0,+VLOOKUP($C40,Items!$A$2:$AE$10014,3,FALSE),+VLOOKUP($C40,Items!$A$2:$AE$10014,3,FALSE)*H40)</f>
        <v>22.1785344</v>
      </c>
      <c r="K40" s="16">
        <f t="shared" si="15"/>
        <v>22.1785344</v>
      </c>
      <c r="L40" s="36">
        <f t="shared" ref="L40:L44" si="19">IF(R40="Labor",$D$2,$D$3)</f>
        <v>0</v>
      </c>
      <c r="M40" s="16">
        <f t="shared" si="16"/>
        <v>0</v>
      </c>
      <c r="N40" s="17">
        <f>VLOOKUP($C40,Items!$A$2:$AE$10014,4,FALSE)*A40</f>
        <v>0</v>
      </c>
      <c r="O40" s="9">
        <v>0</v>
      </c>
      <c r="P40" s="18">
        <f t="shared" si="17"/>
        <v>0</v>
      </c>
      <c r="Q40" s="16">
        <f t="shared" si="18"/>
        <v>23</v>
      </c>
      <c r="R40" s="61" t="str">
        <f>VLOOKUP($C40,Items!$A$2:$AE$10014,11,FALSE)</f>
        <v>Material</v>
      </c>
    </row>
    <row r="41" spans="1:18" x14ac:dyDescent="0.25">
      <c r="A41" s="6">
        <f>0.2*A37</f>
        <v>0.2</v>
      </c>
      <c r="B41" s="7" t="str">
        <f>VLOOKUP($C41,Items!$A$2:$AE$10014,5,FALSE)</f>
        <v>mh</v>
      </c>
      <c r="C41" s="41" t="s">
        <v>46</v>
      </c>
      <c r="D41" s="6" t="s">
        <v>152</v>
      </c>
      <c r="E41" s="28">
        <f>VLOOKUP($C41,Items!$A$2:$AE$10014,6,FALSE)</f>
        <v>0</v>
      </c>
      <c r="F41" s="28">
        <f>VLOOKUP($C41,Items!$A$2:$AE$10014,7,FALSE)</f>
        <v>0</v>
      </c>
      <c r="G41" s="28">
        <f>VLOOKUP($C41,Items!$A$2:$AE$10014,8,FALSE)</f>
        <v>0</v>
      </c>
      <c r="H41" s="28">
        <f>IF(E41=0,+VLOOKUP($C41,Items!$A$2:$AE$10014,9,FALSE),+VLOOKUP($C41,Items!$A$2:$AE$10014,9,FALSE)*E41*F41*G41)</f>
        <v>0</v>
      </c>
      <c r="I41" s="29">
        <f>IF(E41=0,+VLOOKUP($C41,Items!$A$2:$AE$10014,10,FALSE)*A41,(A41*H41))</f>
        <v>0</v>
      </c>
      <c r="J41" s="8">
        <f>IF(E41=0,+VLOOKUP($C41,Items!$A$2:$AE$10014,3,FALSE),+VLOOKUP($C41,Items!$A$2:$AE$10014,3,FALSE)*H41)</f>
        <v>38</v>
      </c>
      <c r="K41" s="16">
        <f t="shared" si="15"/>
        <v>7.6000000000000005</v>
      </c>
      <c r="L41" s="36">
        <f t="shared" si="19"/>
        <v>0</v>
      </c>
      <c r="M41" s="16">
        <f t="shared" si="16"/>
        <v>0</v>
      </c>
      <c r="N41" s="17">
        <f>VLOOKUP($C41,Items!$A$2:$AE$10014,4,FALSE)*A41</f>
        <v>3.2</v>
      </c>
      <c r="O41" s="9">
        <v>0</v>
      </c>
      <c r="P41" s="18">
        <f t="shared" si="17"/>
        <v>0</v>
      </c>
      <c r="Q41" s="16">
        <f t="shared" si="18"/>
        <v>11</v>
      </c>
      <c r="R41" s="61" t="str">
        <f>VLOOKUP($C41,Items!$A$2:$AE$10014,11,FALSE)</f>
        <v>Labor</v>
      </c>
    </row>
    <row r="42" spans="1:18" x14ac:dyDescent="0.25">
      <c r="A42" s="6">
        <f>0.3*A37</f>
        <v>0.3</v>
      </c>
      <c r="B42" s="7" t="str">
        <f>VLOOKUP($C42,Items!$A$2:$AE$10014,5,FALSE)</f>
        <v>gal</v>
      </c>
      <c r="C42" s="41" t="s">
        <v>28</v>
      </c>
      <c r="D42" s="6" t="str">
        <f>VLOOKUP($C42,Items!$A$2:$AE$10014,2,FALSE)</f>
        <v>Cold Press Glue</v>
      </c>
      <c r="E42" s="28">
        <f>VLOOKUP($C42,Items!$A$2:$AE$10014,6,FALSE)</f>
        <v>0</v>
      </c>
      <c r="F42" s="28">
        <f>VLOOKUP($C42,Items!$A$2:$AE$10014,7,FALSE)</f>
        <v>0</v>
      </c>
      <c r="G42" s="28">
        <f>VLOOKUP($C42,Items!$A$2:$AE$10014,8,FALSE)</f>
        <v>0</v>
      </c>
      <c r="H42" s="28">
        <f>IF(E42=0,+VLOOKUP($C42,Items!$A$2:$AE$10014,9,FALSE),+VLOOKUP($C42,Items!$A$2:$AE$10014,9,FALSE)*E42*F42*G42)</f>
        <v>0</v>
      </c>
      <c r="I42" s="29">
        <f>IF(E42=0,+VLOOKUP($C42,Items!$A$2:$AE$10014,10,FALSE)*A42,(A42*H42))</f>
        <v>0</v>
      </c>
      <c r="J42" s="8">
        <f>IF(E42=0,+VLOOKUP($C42,Items!$A$2:$AE$10014,3,FALSE),+VLOOKUP($C42,Items!$A$2:$AE$10014,3,FALSE)*H42)</f>
        <v>18</v>
      </c>
      <c r="K42" s="16">
        <f t="shared" si="15"/>
        <v>5.3999999999999995</v>
      </c>
      <c r="L42" s="36">
        <f t="shared" si="19"/>
        <v>0</v>
      </c>
      <c r="M42" s="16">
        <f t="shared" si="16"/>
        <v>0</v>
      </c>
      <c r="N42" s="17">
        <f>VLOOKUP($C42,Items!$A$2:$AE$10014,4,FALSE)*A42</f>
        <v>0</v>
      </c>
      <c r="O42" s="9">
        <v>0</v>
      </c>
      <c r="P42" s="18">
        <f t="shared" si="17"/>
        <v>0</v>
      </c>
      <c r="Q42" s="16">
        <f t="shared" si="18"/>
        <v>6</v>
      </c>
      <c r="R42" s="61" t="str">
        <f>VLOOKUP($C42,Items!$A$2:$AE$10014,11,FALSE)</f>
        <v>Material</v>
      </c>
    </row>
    <row r="43" spans="1:18" x14ac:dyDescent="0.25">
      <c r="A43" s="6">
        <f>0.0625*A37</f>
        <v>6.25E-2</v>
      </c>
      <c r="B43" s="7" t="str">
        <f>VLOOKUP($C43,Items!$A$2:$AE$10014,5,FALSE)</f>
        <v>ea</v>
      </c>
      <c r="C43" s="41" t="s">
        <v>120</v>
      </c>
      <c r="D43" s="6">
        <f>VLOOKUP($C43,Items!$A$2:$AE$10014,2,FALSE)</f>
        <v>0</v>
      </c>
      <c r="E43" s="28">
        <f>VLOOKUP($C43,Items!$A$2:$AE$10014,6,FALSE)</f>
        <v>0</v>
      </c>
      <c r="F43" s="28">
        <f>VLOOKUP($C43,Items!$A$2:$AE$10014,7,FALSE)</f>
        <v>0</v>
      </c>
      <c r="G43" s="28">
        <f>VLOOKUP($C43,Items!$A$2:$AE$10014,8,FALSE)</f>
        <v>0</v>
      </c>
      <c r="H43" s="28">
        <f>IF(E43=0,+VLOOKUP($C43,Items!$A$2:$AE$10014,9,FALSE),+VLOOKUP($C43,Items!$A$2:$AE$10014,9,FALSE)*E43*F43*G43)</f>
        <v>0</v>
      </c>
      <c r="I43" s="29">
        <f>IF(E43=0,+VLOOKUP($C43,Items!$A$2:$AE$10014,10,FALSE)*A43,(A43*H43))</f>
        <v>0</v>
      </c>
      <c r="J43" s="8">
        <f>IF(E43=0,+VLOOKUP($C43,Items!$A$2:$AE$10014,3,FALSE),+VLOOKUP($C43,Items!$A$2:$AE$10014,3,FALSE)*H43)</f>
        <v>65</v>
      </c>
      <c r="K43" s="16">
        <f t="shared" si="15"/>
        <v>4.0625</v>
      </c>
      <c r="L43" s="36">
        <f t="shared" si="19"/>
        <v>0</v>
      </c>
      <c r="M43" s="16">
        <f t="shared" si="16"/>
        <v>0</v>
      </c>
      <c r="N43" s="17">
        <f>VLOOKUP($C43,Items!$A$2:$AE$10014,4,FALSE)*A43</f>
        <v>0</v>
      </c>
      <c r="O43" s="9">
        <v>0</v>
      </c>
      <c r="P43" s="18">
        <f t="shared" si="17"/>
        <v>0</v>
      </c>
      <c r="Q43" s="16">
        <f t="shared" si="18"/>
        <v>5</v>
      </c>
      <c r="R43" s="61" t="str">
        <f>VLOOKUP($C43,Items!$A$2:$AE$10014,11,FALSE)</f>
        <v>Material</v>
      </c>
    </row>
    <row r="44" spans="1:18" x14ac:dyDescent="0.25">
      <c r="A44" s="6">
        <f>0.0625*A37</f>
        <v>6.25E-2</v>
      </c>
      <c r="B44" s="7" t="str">
        <f>VLOOKUP($C44,Items!$A$2:$AE$10014,5,FALSE)</f>
        <v>ea</v>
      </c>
      <c r="C44" s="41" t="s">
        <v>50</v>
      </c>
      <c r="D44" s="6" t="s">
        <v>154</v>
      </c>
      <c r="E44" s="28">
        <f>VLOOKUP($C44,Items!$A$2:$AE$10014,6,FALSE)</f>
        <v>0</v>
      </c>
      <c r="F44" s="28">
        <f>VLOOKUP($C44,Items!$A$2:$AE$10014,7,FALSE)</f>
        <v>0</v>
      </c>
      <c r="G44" s="28">
        <f>VLOOKUP($C44,Items!$A$2:$AE$10014,8,FALSE)</f>
        <v>0</v>
      </c>
      <c r="H44" s="28">
        <f>IF(E44=0,+VLOOKUP($C44,Items!$A$2:$AE$10014,9,FALSE),+VLOOKUP($C44,Items!$A$2:$AE$10014,9,FALSE)*E44*F44*G44)</f>
        <v>0</v>
      </c>
      <c r="I44" s="29">
        <f>IF(E44=0,+VLOOKUP($C44,Items!$A$2:$AE$10014,10,FALSE)*A44,(A44*H44))</f>
        <v>0</v>
      </c>
      <c r="J44" s="8">
        <f>IF(E44=0,+VLOOKUP($C44,Items!$A$2:$AE$10014,3,FALSE),+VLOOKUP($C44,Items!$A$2:$AE$10014,3,FALSE)*H44)</f>
        <v>30</v>
      </c>
      <c r="K44" s="16">
        <f t="shared" si="15"/>
        <v>1.875</v>
      </c>
      <c r="L44" s="36">
        <f t="shared" si="19"/>
        <v>0</v>
      </c>
      <c r="M44" s="16">
        <f t="shared" si="16"/>
        <v>0</v>
      </c>
      <c r="N44" s="17">
        <f>VLOOKUP($C44,Items!$A$2:$AE$10014,4,FALSE)*A44</f>
        <v>0</v>
      </c>
      <c r="O44" s="9">
        <v>0</v>
      </c>
      <c r="P44" s="18">
        <f t="shared" si="17"/>
        <v>0</v>
      </c>
      <c r="Q44" s="16">
        <f t="shared" si="18"/>
        <v>2</v>
      </c>
      <c r="R44" s="61" t="str">
        <f>VLOOKUP($C44,Items!$A$2:$AE$10014,11,FALSE)</f>
        <v>Material</v>
      </c>
    </row>
    <row r="48" spans="1:18" ht="15.75" x14ac:dyDescent="0.25">
      <c r="A48" s="74">
        <v>1</v>
      </c>
      <c r="B48" s="74" t="s">
        <v>0</v>
      </c>
      <c r="C48" s="75" t="s">
        <v>191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</row>
    <row r="49" spans="1:18" ht="39" x14ac:dyDescent="0.25">
      <c r="A49" s="1" t="s">
        <v>7</v>
      </c>
      <c r="B49" s="1" t="s">
        <v>3</v>
      </c>
      <c r="C49" s="1" t="s">
        <v>10</v>
      </c>
      <c r="D49" s="1" t="s">
        <v>4</v>
      </c>
      <c r="E49" s="3" t="s">
        <v>21</v>
      </c>
      <c r="F49" s="3" t="s">
        <v>26</v>
      </c>
      <c r="G49" s="3" t="s">
        <v>27</v>
      </c>
      <c r="H49" s="3" t="s">
        <v>145</v>
      </c>
      <c r="I49" s="3" t="s">
        <v>23</v>
      </c>
      <c r="J49" s="3" t="s">
        <v>146</v>
      </c>
      <c r="K49" s="3" t="s">
        <v>15</v>
      </c>
      <c r="L49" s="3" t="s">
        <v>8</v>
      </c>
      <c r="M49" s="3" t="s">
        <v>5</v>
      </c>
      <c r="N49" s="3" t="s">
        <v>11</v>
      </c>
      <c r="O49" s="3" t="s">
        <v>2</v>
      </c>
      <c r="P49" s="1" t="s">
        <v>1</v>
      </c>
      <c r="Q49" s="3" t="s">
        <v>6</v>
      </c>
      <c r="R49" s="3" t="s">
        <v>18</v>
      </c>
    </row>
    <row r="50" spans="1:18" x14ac:dyDescent="0.25">
      <c r="A50" s="6">
        <f>1*A48</f>
        <v>1</v>
      </c>
      <c r="B50" s="7" t="str">
        <f>VLOOKUP($C50,Items!$A$2:$AE$10014,5,FALSE)</f>
        <v>ea</v>
      </c>
      <c r="C50" s="41" t="s">
        <v>42</v>
      </c>
      <c r="D50" s="6"/>
      <c r="E50" s="28">
        <v>49</v>
      </c>
      <c r="F50" s="28">
        <v>84</v>
      </c>
      <c r="G50" s="28">
        <v>2.0000000000000001E-4</v>
      </c>
      <c r="H50" s="28">
        <f>IF(E50=0,+VLOOKUP($C50,Items!$A$2:$AE$10014,9,FALSE),+VLOOKUP($C50,Items!$A$2:$AE$10014,9,FALSE)*E50*F50*G50)</f>
        <v>0.34300274400000003</v>
      </c>
      <c r="I50" s="29">
        <f>IF(E50=0,+VLOOKUP($C50,Items!$A$2:$AE$10014,10,FALSE)*A50,(A50*H50))</f>
        <v>0.34300274400000003</v>
      </c>
      <c r="J50" s="8">
        <f>IF(E50=0,+VLOOKUP($C50,Items!$A$2:$AE$10014,3,FALSE),+VLOOKUP($C50,Items!$A$2:$AE$10014,3,FALSE)*H50)</f>
        <v>0.60025480200000003</v>
      </c>
      <c r="K50" s="16">
        <f t="shared" ref="K50:K55" si="20">A50*J50</f>
        <v>0.60025480200000003</v>
      </c>
      <c r="L50" s="36">
        <f>IF(R50="Labor",$D$2,$D$3)</f>
        <v>0</v>
      </c>
      <c r="M50" s="16">
        <f t="shared" ref="M50:M55" si="21">K50*L50</f>
        <v>0</v>
      </c>
      <c r="N50" s="17">
        <f>VLOOKUP($C50,Items!$A$2:$AE$10014,4,FALSE)*A50</f>
        <v>0</v>
      </c>
      <c r="O50" s="9">
        <v>0</v>
      </c>
      <c r="P50" s="18">
        <f t="shared" ref="P50:P55" si="22">IF(O50=1,(K50+M50)*($D$1),0)</f>
        <v>0</v>
      </c>
      <c r="Q50" s="16">
        <f t="shared" ref="Q50:Q55" si="23">ROUNDUP(K50+M50+N50+P50,0)</f>
        <v>1</v>
      </c>
      <c r="R50" s="61" t="str">
        <f>VLOOKUP($C50,Items!$A$2:$AE$10014,11,FALSE)</f>
        <v>Material</v>
      </c>
    </row>
    <row r="51" spans="1:18" x14ac:dyDescent="0.25">
      <c r="A51" s="6">
        <f>1*A48</f>
        <v>1</v>
      </c>
      <c r="B51" s="7" t="str">
        <f>VLOOKUP($C51,Items!$A$2:$AE$10014,5,FALSE)</f>
        <v>ea</v>
      </c>
      <c r="C51" s="41" t="s">
        <v>210</v>
      </c>
      <c r="D51" s="6" t="str">
        <f>VLOOKUP($C51,Items!$A$2:$AE$10014,2,FALSE)</f>
        <v>4' x 8' x 5/8" GWB</v>
      </c>
      <c r="E51" s="28">
        <f>VLOOKUP($C51,Items!$A$2:$AE$10014,6,FALSE)</f>
        <v>48</v>
      </c>
      <c r="F51" s="28">
        <f>VLOOKUP($C51,Items!$A$2:$AE$10014,7,FALSE)</f>
        <v>96</v>
      </c>
      <c r="G51" s="28">
        <f>VLOOKUP($C51,Items!$A$2:$AE$10014,8,FALSE)</f>
        <v>0.625</v>
      </c>
      <c r="H51" s="28">
        <f>IF(E51=0,+VLOOKUP($C51,Items!$A$2:$AE$10014,9,FALSE),+VLOOKUP($C51,Items!$A$2:$AE$10014,9,FALSE)*E51*F51*G51)</f>
        <v>84.009600000000006</v>
      </c>
      <c r="I51" s="29">
        <f>IF(E51=0,+VLOOKUP($C51,Items!$A$2:$AE$10014,10,FALSE)*A51,(A51*H51))</f>
        <v>84.009600000000006</v>
      </c>
      <c r="J51" s="8">
        <f>IF(E51=0,+VLOOKUP($C51,Items!$A$2:$AE$10014,3,FALSE),+VLOOKUP($C51,Items!$A$2:$AE$10014,3,FALSE)*H51)</f>
        <v>18.482112000000001</v>
      </c>
      <c r="K51" s="16">
        <f t="shared" si="20"/>
        <v>18.482112000000001</v>
      </c>
      <c r="L51" s="36">
        <f t="shared" ref="L51:L55" si="24">IF(R51="Labor",$D$2,$D$3)</f>
        <v>0</v>
      </c>
      <c r="M51" s="16">
        <f t="shared" si="21"/>
        <v>0</v>
      </c>
      <c r="N51" s="17">
        <f>VLOOKUP($C51,Items!$A$2:$AE$10014,4,FALSE)*A51</f>
        <v>0</v>
      </c>
      <c r="O51" s="9">
        <v>0</v>
      </c>
      <c r="P51" s="18">
        <f t="shared" si="22"/>
        <v>0</v>
      </c>
      <c r="Q51" s="16">
        <f t="shared" si="23"/>
        <v>19</v>
      </c>
      <c r="R51" s="61" t="str">
        <f>VLOOKUP($C51,Items!$A$2:$AE$10014,11,FALSE)</f>
        <v>Material</v>
      </c>
    </row>
    <row r="52" spans="1:18" x14ac:dyDescent="0.25">
      <c r="A52" s="6">
        <f>0.2*A48</f>
        <v>0.2</v>
      </c>
      <c r="B52" s="7" t="str">
        <f>VLOOKUP($C52,Items!$A$2:$AE$10014,5,FALSE)</f>
        <v>mh</v>
      </c>
      <c r="C52" s="41" t="s">
        <v>46</v>
      </c>
      <c r="D52" s="6" t="s">
        <v>152</v>
      </c>
      <c r="E52" s="28">
        <f>VLOOKUP($C52,Items!$A$2:$AE$10014,6,FALSE)</f>
        <v>0</v>
      </c>
      <c r="F52" s="28">
        <f>VLOOKUP($C52,Items!$A$2:$AE$10014,7,FALSE)</f>
        <v>0</v>
      </c>
      <c r="G52" s="28">
        <f>VLOOKUP($C52,Items!$A$2:$AE$10014,8,FALSE)</f>
        <v>0</v>
      </c>
      <c r="H52" s="28">
        <f>IF(E52=0,+VLOOKUP($C52,Items!$A$2:$AE$10014,9,FALSE),+VLOOKUP($C52,Items!$A$2:$AE$10014,9,FALSE)*E52*F52*G52)</f>
        <v>0</v>
      </c>
      <c r="I52" s="29">
        <f>IF(E52=0,+VLOOKUP($C52,Items!$A$2:$AE$10014,10,FALSE)*A52,(A52*H52))</f>
        <v>0</v>
      </c>
      <c r="J52" s="8">
        <f>IF(E52=0,+VLOOKUP($C52,Items!$A$2:$AE$10014,3,FALSE),+VLOOKUP($C52,Items!$A$2:$AE$10014,3,FALSE)*H52)</f>
        <v>38</v>
      </c>
      <c r="K52" s="16">
        <f t="shared" si="20"/>
        <v>7.6000000000000005</v>
      </c>
      <c r="L52" s="36">
        <f t="shared" si="24"/>
        <v>0</v>
      </c>
      <c r="M52" s="16">
        <f t="shared" si="21"/>
        <v>0</v>
      </c>
      <c r="N52" s="17">
        <f>VLOOKUP($C52,Items!$A$2:$AE$10014,4,FALSE)*A52</f>
        <v>3.2</v>
      </c>
      <c r="O52" s="9">
        <v>0</v>
      </c>
      <c r="P52" s="18">
        <f t="shared" si="22"/>
        <v>0</v>
      </c>
      <c r="Q52" s="16">
        <f t="shared" si="23"/>
        <v>11</v>
      </c>
      <c r="R52" s="61" t="str">
        <f>VLOOKUP($C52,Items!$A$2:$AE$10014,11,FALSE)</f>
        <v>Labor</v>
      </c>
    </row>
    <row r="53" spans="1:18" x14ac:dyDescent="0.25">
      <c r="A53" s="6">
        <f>0.3*A48</f>
        <v>0.3</v>
      </c>
      <c r="B53" s="7" t="str">
        <f>VLOOKUP($C53,Items!$A$2:$AE$10014,5,FALSE)</f>
        <v>gal</v>
      </c>
      <c r="C53" s="41" t="s">
        <v>28</v>
      </c>
      <c r="D53" s="6" t="str">
        <f>VLOOKUP($C53,Items!$A$2:$AE$10014,2,FALSE)</f>
        <v>Cold Press Glue</v>
      </c>
      <c r="E53" s="28">
        <f>VLOOKUP($C53,Items!$A$2:$AE$10014,6,FALSE)</f>
        <v>0</v>
      </c>
      <c r="F53" s="28">
        <f>VLOOKUP($C53,Items!$A$2:$AE$10014,7,FALSE)</f>
        <v>0</v>
      </c>
      <c r="G53" s="28">
        <f>VLOOKUP($C53,Items!$A$2:$AE$10014,8,FALSE)</f>
        <v>0</v>
      </c>
      <c r="H53" s="28">
        <f>IF(E53=0,+VLOOKUP($C53,Items!$A$2:$AE$10014,9,FALSE),+VLOOKUP($C53,Items!$A$2:$AE$10014,9,FALSE)*E53*F53*G53)</f>
        <v>0</v>
      </c>
      <c r="I53" s="29">
        <f>IF(E53=0,+VLOOKUP($C53,Items!$A$2:$AE$10014,10,FALSE)*A53,(A53*H53))</f>
        <v>0</v>
      </c>
      <c r="J53" s="8">
        <f>IF(E53=0,+VLOOKUP($C53,Items!$A$2:$AE$10014,3,FALSE),+VLOOKUP($C53,Items!$A$2:$AE$10014,3,FALSE)*H53)</f>
        <v>18</v>
      </c>
      <c r="K53" s="16">
        <f t="shared" si="20"/>
        <v>5.3999999999999995</v>
      </c>
      <c r="L53" s="36">
        <f t="shared" si="24"/>
        <v>0</v>
      </c>
      <c r="M53" s="16">
        <f t="shared" si="21"/>
        <v>0</v>
      </c>
      <c r="N53" s="17">
        <f>VLOOKUP($C53,Items!$A$2:$AE$10014,4,FALSE)*A53</f>
        <v>0</v>
      </c>
      <c r="O53" s="9">
        <v>0</v>
      </c>
      <c r="P53" s="18">
        <f t="shared" si="22"/>
        <v>0</v>
      </c>
      <c r="Q53" s="16">
        <f t="shared" si="23"/>
        <v>6</v>
      </c>
      <c r="R53" s="61" t="str">
        <f>VLOOKUP($C53,Items!$A$2:$AE$10014,11,FALSE)</f>
        <v>Material</v>
      </c>
    </row>
    <row r="54" spans="1:18" x14ac:dyDescent="0.25">
      <c r="A54" s="6">
        <f>0.0625*A48</f>
        <v>6.25E-2</v>
      </c>
      <c r="B54" s="7" t="str">
        <f>VLOOKUP($C54,Items!$A$2:$AE$10014,5,FALSE)</f>
        <v>ea</v>
      </c>
      <c r="C54" s="41" t="s">
        <v>29</v>
      </c>
      <c r="D54" s="6" t="str">
        <f>VLOOKUP($C54,Items!$A$2:$AE$10014,2,FALSE)</f>
        <v>Pallet - 8'</v>
      </c>
      <c r="E54" s="28">
        <f>VLOOKUP($C54,Items!$A$2:$AE$10014,6,FALSE)</f>
        <v>0</v>
      </c>
      <c r="F54" s="28">
        <f>VLOOKUP($C54,Items!$A$2:$AE$10014,7,FALSE)</f>
        <v>0</v>
      </c>
      <c r="G54" s="28">
        <f>VLOOKUP($C54,Items!$A$2:$AE$10014,8,FALSE)</f>
        <v>0</v>
      </c>
      <c r="H54" s="28">
        <f>IF(E54=0,+VLOOKUP($C54,Items!$A$2:$AE$10014,9,FALSE),+VLOOKUP($C54,Items!$A$2:$AE$10014,9,FALSE)*E54*F54*G54)</f>
        <v>0</v>
      </c>
      <c r="I54" s="29">
        <f>IF(E54=0,+VLOOKUP($C54,Items!$A$2:$AE$10014,10,FALSE)*A54,(A54*H54))</f>
        <v>3.125</v>
      </c>
      <c r="J54" s="8">
        <f>IF(E54=0,+VLOOKUP($C54,Items!$A$2:$AE$10014,3,FALSE),+VLOOKUP($C54,Items!$A$2:$AE$10014,3,FALSE)*H54)</f>
        <v>65</v>
      </c>
      <c r="K54" s="16">
        <f t="shared" si="20"/>
        <v>4.0625</v>
      </c>
      <c r="L54" s="36">
        <f t="shared" si="24"/>
        <v>0</v>
      </c>
      <c r="M54" s="16">
        <f t="shared" si="21"/>
        <v>0</v>
      </c>
      <c r="N54" s="17">
        <f>VLOOKUP($C54,Items!$A$2:$AE$10014,4,FALSE)*A54</f>
        <v>0</v>
      </c>
      <c r="O54" s="9">
        <v>0</v>
      </c>
      <c r="P54" s="18">
        <f t="shared" si="22"/>
        <v>0</v>
      </c>
      <c r="Q54" s="16">
        <f t="shared" si="23"/>
        <v>5</v>
      </c>
      <c r="R54" s="61" t="str">
        <f>VLOOKUP($C54,Items!$A$2:$AE$10014,11,FALSE)</f>
        <v>Material</v>
      </c>
    </row>
    <row r="55" spans="1:18" x14ac:dyDescent="0.25">
      <c r="A55" s="6">
        <f>0.0625*A48</f>
        <v>6.25E-2</v>
      </c>
      <c r="B55" s="7" t="str">
        <f>VLOOKUP($C55,Items!$A$2:$AE$10014,5,FALSE)</f>
        <v>ea</v>
      </c>
      <c r="C55" s="41" t="s">
        <v>50</v>
      </c>
      <c r="D55" s="6" t="s">
        <v>154</v>
      </c>
      <c r="E55" s="28">
        <f>VLOOKUP($C55,Items!$A$2:$AE$10014,6,FALSE)</f>
        <v>0</v>
      </c>
      <c r="F55" s="28">
        <f>VLOOKUP($C55,Items!$A$2:$AE$10014,7,FALSE)</f>
        <v>0</v>
      </c>
      <c r="G55" s="28">
        <f>VLOOKUP($C55,Items!$A$2:$AE$10014,8,FALSE)</f>
        <v>0</v>
      </c>
      <c r="H55" s="28">
        <f>IF(E55=0,+VLOOKUP($C55,Items!$A$2:$AE$10014,9,FALSE),+VLOOKUP($C55,Items!$A$2:$AE$10014,9,FALSE)*E55*F55*G55)</f>
        <v>0</v>
      </c>
      <c r="I55" s="29">
        <f>IF(E55=0,+VLOOKUP($C55,Items!$A$2:$AE$10014,10,FALSE)*A55,(A55*H55))</f>
        <v>0</v>
      </c>
      <c r="J55" s="8">
        <f>IF(E55=0,+VLOOKUP($C55,Items!$A$2:$AE$10014,3,FALSE),+VLOOKUP($C55,Items!$A$2:$AE$10014,3,FALSE)*H55)</f>
        <v>30</v>
      </c>
      <c r="K55" s="16">
        <f t="shared" si="20"/>
        <v>1.875</v>
      </c>
      <c r="L55" s="36">
        <f t="shared" si="24"/>
        <v>0</v>
      </c>
      <c r="M55" s="16">
        <f t="shared" si="21"/>
        <v>0</v>
      </c>
      <c r="N55" s="17">
        <f>VLOOKUP($C55,Items!$A$2:$AE$10014,4,FALSE)*A55</f>
        <v>0</v>
      </c>
      <c r="O55" s="9">
        <v>0</v>
      </c>
      <c r="P55" s="18">
        <f t="shared" si="22"/>
        <v>0</v>
      </c>
      <c r="Q55" s="16">
        <f t="shared" si="23"/>
        <v>2</v>
      </c>
      <c r="R55" s="61" t="str">
        <f>VLOOKUP($C55,Items!$A$2:$AE$10014,11,FALSE)</f>
        <v>Material</v>
      </c>
    </row>
    <row r="59" spans="1:18" ht="15.75" x14ac:dyDescent="0.25">
      <c r="A59" s="74">
        <v>1</v>
      </c>
      <c r="B59" s="74" t="s">
        <v>0</v>
      </c>
      <c r="C59" s="75" t="s">
        <v>196</v>
      </c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</row>
    <row r="60" spans="1:18" ht="39" x14ac:dyDescent="0.25">
      <c r="A60" s="1" t="s">
        <v>7</v>
      </c>
      <c r="B60" s="1" t="s">
        <v>3</v>
      </c>
      <c r="C60" s="1" t="s">
        <v>10</v>
      </c>
      <c r="D60" s="1" t="s">
        <v>4</v>
      </c>
      <c r="E60" s="3" t="s">
        <v>21</v>
      </c>
      <c r="F60" s="3" t="s">
        <v>26</v>
      </c>
      <c r="G60" s="3" t="s">
        <v>27</v>
      </c>
      <c r="H60" s="3" t="s">
        <v>145</v>
      </c>
      <c r="I60" s="3" t="s">
        <v>23</v>
      </c>
      <c r="J60" s="3" t="s">
        <v>146</v>
      </c>
      <c r="K60" s="3" t="s">
        <v>15</v>
      </c>
      <c r="L60" s="3" t="s">
        <v>8</v>
      </c>
      <c r="M60" s="3" t="s">
        <v>5</v>
      </c>
      <c r="N60" s="3" t="s">
        <v>11</v>
      </c>
      <c r="O60" s="3" t="s">
        <v>2</v>
      </c>
      <c r="P60" s="1" t="s">
        <v>1</v>
      </c>
      <c r="Q60" s="3" t="s">
        <v>6</v>
      </c>
      <c r="R60" s="3" t="s">
        <v>18</v>
      </c>
    </row>
    <row r="61" spans="1:18" x14ac:dyDescent="0.25">
      <c r="A61" s="6">
        <f>1*A59</f>
        <v>1</v>
      </c>
      <c r="B61" s="7" t="str">
        <f>VLOOKUP($C61,Items!$A$2:$AE$10014,5,FALSE)</f>
        <v>ea</v>
      </c>
      <c r="C61" s="41" t="s">
        <v>42</v>
      </c>
      <c r="D61" s="6"/>
      <c r="E61" s="28">
        <v>49</v>
      </c>
      <c r="F61" s="28">
        <v>84</v>
      </c>
      <c r="G61" s="28">
        <v>2.0000000000000001E-4</v>
      </c>
      <c r="H61" s="28">
        <f>IF(E61=0,+VLOOKUP($C61,Items!$A$2:$AE$10014,9,FALSE),+VLOOKUP($C61,Items!$A$2:$AE$10014,9,FALSE)*E61*F61*G61)</f>
        <v>0.34300274400000003</v>
      </c>
      <c r="I61" s="29">
        <f>IF(E61=0,+VLOOKUP($C61,Items!$A$2:$AE$10014,10,FALSE)*A61,(A61*H61))</f>
        <v>0.34300274400000003</v>
      </c>
      <c r="J61" s="8">
        <f>IF(E61=0,+VLOOKUP($C61,Items!$A$2:$AE$10014,3,FALSE),+VLOOKUP($C61,Items!$A$2:$AE$10014,3,FALSE)*H61)</f>
        <v>0.60025480200000003</v>
      </c>
      <c r="K61" s="16">
        <f t="shared" ref="K61:K66" si="25">A61*J61</f>
        <v>0.60025480200000003</v>
      </c>
      <c r="L61" s="36">
        <f>IF(R61="Labor",$D$2,$D$3)</f>
        <v>0</v>
      </c>
      <c r="M61" s="16">
        <f t="shared" ref="M61:M66" si="26">K61*L61</f>
        <v>0</v>
      </c>
      <c r="N61" s="17">
        <f>VLOOKUP($C61,Items!$A$2:$AE$10014,4,FALSE)*A61</f>
        <v>0</v>
      </c>
      <c r="O61" s="9">
        <v>0</v>
      </c>
      <c r="P61" s="18">
        <f t="shared" ref="P61:P66" si="27">IF(O61=1,(K61+M61)*($D$1),0)</f>
        <v>0</v>
      </c>
      <c r="Q61" s="16">
        <f t="shared" ref="Q61:Q66" si="28">ROUNDUP(K61+M61+N61+P61,0)</f>
        <v>1</v>
      </c>
      <c r="R61" s="61" t="str">
        <f>VLOOKUP($C61,Items!$A$2:$AE$10014,11,FALSE)</f>
        <v>Material</v>
      </c>
    </row>
    <row r="62" spans="1:18" x14ac:dyDescent="0.25">
      <c r="A62" s="6">
        <f>1*A59</f>
        <v>1</v>
      </c>
      <c r="B62" s="7" t="str">
        <f>VLOOKUP($C62,Items!$A$2:$AE$10014,5,FALSE)</f>
        <v>ea</v>
      </c>
      <c r="C62" s="41" t="s">
        <v>211</v>
      </c>
      <c r="D62" s="6" t="str">
        <f>VLOOKUP($C62,Items!$A$2:$AE$10014,2,FALSE)</f>
        <v>4' x 9' x 5/8" GWB</v>
      </c>
      <c r="E62" s="28">
        <f>VLOOKUP($C62,Items!$A$2:$AE$10014,6,FALSE)</f>
        <v>48</v>
      </c>
      <c r="F62" s="28">
        <f>VLOOKUP($C62,Items!$A$2:$AE$10014,7,FALSE)</f>
        <v>108</v>
      </c>
      <c r="G62" s="28">
        <f>VLOOKUP($C62,Items!$A$2:$AE$10014,8,FALSE)</f>
        <v>0.625</v>
      </c>
      <c r="H62" s="28">
        <f>IF(E62=0,+VLOOKUP($C62,Items!$A$2:$AE$10014,9,FALSE),+VLOOKUP($C62,Items!$A$2:$AE$10014,9,FALSE)*E62*F62*G62)</f>
        <v>94.510800000000017</v>
      </c>
      <c r="I62" s="29">
        <f>IF(E62=0,+VLOOKUP($C62,Items!$A$2:$AE$10014,10,FALSE)*A62,(A62*H62))</f>
        <v>94.510800000000017</v>
      </c>
      <c r="J62" s="8">
        <f>IF(E62=0,+VLOOKUP($C62,Items!$A$2:$AE$10014,3,FALSE),+VLOOKUP($C62,Items!$A$2:$AE$10014,3,FALSE)*H62)</f>
        <v>25.517916000000007</v>
      </c>
      <c r="K62" s="16">
        <f t="shared" si="25"/>
        <v>25.517916000000007</v>
      </c>
      <c r="L62" s="36">
        <f t="shared" ref="L62:L66" si="29">IF(R62="Labor",$D$2,$D$3)</f>
        <v>0</v>
      </c>
      <c r="M62" s="16">
        <f t="shared" si="26"/>
        <v>0</v>
      </c>
      <c r="N62" s="17">
        <f>VLOOKUP($C62,Items!$A$2:$AE$10014,4,FALSE)*A62</f>
        <v>0</v>
      </c>
      <c r="O62" s="9">
        <v>0</v>
      </c>
      <c r="P62" s="18">
        <f t="shared" si="27"/>
        <v>0</v>
      </c>
      <c r="Q62" s="16">
        <f t="shared" si="28"/>
        <v>26</v>
      </c>
      <c r="R62" s="61" t="str">
        <f>VLOOKUP($C62,Items!$A$2:$AE$10014,11,FALSE)</f>
        <v>Material</v>
      </c>
    </row>
    <row r="63" spans="1:18" x14ac:dyDescent="0.25">
      <c r="A63" s="6">
        <f>0.2*A59</f>
        <v>0.2</v>
      </c>
      <c r="B63" s="7" t="str">
        <f>VLOOKUP($C63,Items!$A$2:$AE$10014,5,FALSE)</f>
        <v>mh</v>
      </c>
      <c r="C63" s="41" t="s">
        <v>46</v>
      </c>
      <c r="D63" s="6" t="s">
        <v>152</v>
      </c>
      <c r="E63" s="28">
        <f>VLOOKUP($C63,Items!$A$2:$AE$10014,6,FALSE)</f>
        <v>0</v>
      </c>
      <c r="F63" s="28">
        <f>VLOOKUP($C63,Items!$A$2:$AE$10014,7,FALSE)</f>
        <v>0</v>
      </c>
      <c r="G63" s="28">
        <f>VLOOKUP($C63,Items!$A$2:$AE$10014,8,FALSE)</f>
        <v>0</v>
      </c>
      <c r="H63" s="28">
        <f>IF(E63=0,+VLOOKUP($C63,Items!$A$2:$AE$10014,9,FALSE),+VLOOKUP($C63,Items!$A$2:$AE$10014,9,FALSE)*E63*F63*G63)</f>
        <v>0</v>
      </c>
      <c r="I63" s="29">
        <f>IF(E63=0,+VLOOKUP($C63,Items!$A$2:$AE$10014,10,FALSE)*A63,(A63*H63))</f>
        <v>0</v>
      </c>
      <c r="J63" s="8">
        <f>IF(E63=0,+VLOOKUP($C63,Items!$A$2:$AE$10014,3,FALSE),+VLOOKUP($C63,Items!$A$2:$AE$10014,3,FALSE)*H63)</f>
        <v>38</v>
      </c>
      <c r="K63" s="16">
        <f t="shared" si="25"/>
        <v>7.6000000000000005</v>
      </c>
      <c r="L63" s="36">
        <f t="shared" si="29"/>
        <v>0</v>
      </c>
      <c r="M63" s="16">
        <f t="shared" si="26"/>
        <v>0</v>
      </c>
      <c r="N63" s="17">
        <f>VLOOKUP($C63,Items!$A$2:$AE$10014,4,FALSE)*A63</f>
        <v>3.2</v>
      </c>
      <c r="O63" s="9">
        <v>0</v>
      </c>
      <c r="P63" s="18">
        <f t="shared" si="27"/>
        <v>0</v>
      </c>
      <c r="Q63" s="16">
        <f t="shared" si="28"/>
        <v>11</v>
      </c>
      <c r="R63" s="61" t="str">
        <f>VLOOKUP($C63,Items!$A$2:$AE$10014,11,FALSE)</f>
        <v>Labor</v>
      </c>
    </row>
    <row r="64" spans="1:18" x14ac:dyDescent="0.25">
      <c r="A64" s="6">
        <f>0.3*A59</f>
        <v>0.3</v>
      </c>
      <c r="B64" s="7" t="str">
        <f>VLOOKUP($C64,Items!$A$2:$AE$10014,5,FALSE)</f>
        <v>gal</v>
      </c>
      <c r="C64" s="41" t="s">
        <v>28</v>
      </c>
      <c r="D64" s="6" t="str">
        <f>VLOOKUP($C64,Items!$A$2:$AE$10014,2,FALSE)</f>
        <v>Cold Press Glue</v>
      </c>
      <c r="E64" s="28">
        <f>VLOOKUP($C64,Items!$A$2:$AE$10014,6,FALSE)</f>
        <v>0</v>
      </c>
      <c r="F64" s="28">
        <f>VLOOKUP($C64,Items!$A$2:$AE$10014,7,FALSE)</f>
        <v>0</v>
      </c>
      <c r="G64" s="28">
        <f>VLOOKUP($C64,Items!$A$2:$AE$10014,8,FALSE)</f>
        <v>0</v>
      </c>
      <c r="H64" s="28">
        <f>IF(E64=0,+VLOOKUP($C64,Items!$A$2:$AE$10014,9,FALSE),+VLOOKUP($C64,Items!$A$2:$AE$10014,9,FALSE)*E64*F64*G64)</f>
        <v>0</v>
      </c>
      <c r="I64" s="29">
        <f>IF(E64=0,+VLOOKUP($C64,Items!$A$2:$AE$10014,10,FALSE)*A64,(A64*H64))</f>
        <v>0</v>
      </c>
      <c r="J64" s="8">
        <f>IF(E64=0,+VLOOKUP($C64,Items!$A$2:$AE$10014,3,FALSE),+VLOOKUP($C64,Items!$A$2:$AE$10014,3,FALSE)*H64)</f>
        <v>18</v>
      </c>
      <c r="K64" s="16">
        <f t="shared" si="25"/>
        <v>5.3999999999999995</v>
      </c>
      <c r="L64" s="36">
        <f t="shared" si="29"/>
        <v>0</v>
      </c>
      <c r="M64" s="16">
        <f t="shared" si="26"/>
        <v>0</v>
      </c>
      <c r="N64" s="17">
        <f>VLOOKUP($C64,Items!$A$2:$AE$10014,4,FALSE)*A64</f>
        <v>0</v>
      </c>
      <c r="O64" s="9">
        <v>0</v>
      </c>
      <c r="P64" s="18">
        <f t="shared" si="27"/>
        <v>0</v>
      </c>
      <c r="Q64" s="16">
        <f t="shared" si="28"/>
        <v>6</v>
      </c>
      <c r="R64" s="61" t="str">
        <f>VLOOKUP($C64,Items!$A$2:$AE$10014,11,FALSE)</f>
        <v>Material</v>
      </c>
    </row>
    <row r="65" spans="1:18" x14ac:dyDescent="0.25">
      <c r="A65" s="6">
        <f>0.0625*A59</f>
        <v>6.25E-2</v>
      </c>
      <c r="B65" s="7" t="str">
        <f>VLOOKUP($C65,Items!$A$2:$AE$10014,5,FALSE)</f>
        <v>ea</v>
      </c>
      <c r="C65" s="41" t="s">
        <v>43</v>
      </c>
      <c r="D65" s="6" t="str">
        <f>VLOOKUP($C65,Items!$A$2:$AE$10014,2,FALSE)</f>
        <v>Pallet - 9'</v>
      </c>
      <c r="E65" s="28">
        <f>VLOOKUP($C65,Items!$A$2:$AE$10014,6,FALSE)</f>
        <v>0</v>
      </c>
      <c r="F65" s="28">
        <f>VLOOKUP($C65,Items!$A$2:$AE$10014,7,FALSE)</f>
        <v>0</v>
      </c>
      <c r="G65" s="28">
        <f>VLOOKUP($C65,Items!$A$2:$AE$10014,8,FALSE)</f>
        <v>0</v>
      </c>
      <c r="H65" s="28">
        <f>IF(E65=0,+VLOOKUP($C65,Items!$A$2:$AE$10014,9,FALSE),+VLOOKUP($C65,Items!$A$2:$AE$10014,9,FALSE)*E65*F65*G65)</f>
        <v>0</v>
      </c>
      <c r="I65" s="29">
        <f>IF(E65=0,+VLOOKUP($C65,Items!$A$2:$AE$10014,10,FALSE)*A65,(A65*H65))</f>
        <v>3.125</v>
      </c>
      <c r="J65" s="8">
        <f>IF(E65=0,+VLOOKUP($C65,Items!$A$2:$AE$10014,3,FALSE),+VLOOKUP($C65,Items!$A$2:$AE$10014,3,FALSE)*H65)</f>
        <v>65</v>
      </c>
      <c r="K65" s="16">
        <f t="shared" si="25"/>
        <v>4.0625</v>
      </c>
      <c r="L65" s="36">
        <f t="shared" si="29"/>
        <v>0</v>
      </c>
      <c r="M65" s="16">
        <f t="shared" si="26"/>
        <v>0</v>
      </c>
      <c r="N65" s="17">
        <f>VLOOKUP($C65,Items!$A$2:$AE$10014,4,FALSE)*A65</f>
        <v>0</v>
      </c>
      <c r="O65" s="9">
        <v>0</v>
      </c>
      <c r="P65" s="18">
        <f t="shared" si="27"/>
        <v>0</v>
      </c>
      <c r="Q65" s="16">
        <f t="shared" si="28"/>
        <v>5</v>
      </c>
      <c r="R65" s="61" t="str">
        <f>VLOOKUP($C65,Items!$A$2:$AE$10014,11,FALSE)</f>
        <v>Material</v>
      </c>
    </row>
    <row r="66" spans="1:18" x14ac:dyDescent="0.25">
      <c r="A66" s="6">
        <f>0.0625*A59</f>
        <v>6.25E-2</v>
      </c>
      <c r="B66" s="7" t="str">
        <f>VLOOKUP($C66,Items!$A$2:$AE$10014,5,FALSE)</f>
        <v>ea</v>
      </c>
      <c r="C66" s="41" t="s">
        <v>50</v>
      </c>
      <c r="D66" s="6" t="s">
        <v>154</v>
      </c>
      <c r="E66" s="28">
        <f>VLOOKUP($C66,Items!$A$2:$AE$10014,6,FALSE)</f>
        <v>0</v>
      </c>
      <c r="F66" s="28">
        <f>VLOOKUP($C66,Items!$A$2:$AE$10014,7,FALSE)</f>
        <v>0</v>
      </c>
      <c r="G66" s="28">
        <f>VLOOKUP($C66,Items!$A$2:$AE$10014,8,FALSE)</f>
        <v>0</v>
      </c>
      <c r="H66" s="28">
        <f>IF(E66=0,+VLOOKUP($C66,Items!$A$2:$AE$10014,9,FALSE),+VLOOKUP($C66,Items!$A$2:$AE$10014,9,FALSE)*E66*F66*G66)</f>
        <v>0</v>
      </c>
      <c r="I66" s="29">
        <f>IF(E66=0,+VLOOKUP($C66,Items!$A$2:$AE$10014,10,FALSE)*A66,(A66*H66))</f>
        <v>0</v>
      </c>
      <c r="J66" s="8">
        <f>IF(E66=0,+VLOOKUP($C66,Items!$A$2:$AE$10014,3,FALSE),+VLOOKUP($C66,Items!$A$2:$AE$10014,3,FALSE)*H66)</f>
        <v>30</v>
      </c>
      <c r="K66" s="16">
        <f t="shared" si="25"/>
        <v>1.875</v>
      </c>
      <c r="L66" s="36">
        <f t="shared" si="29"/>
        <v>0</v>
      </c>
      <c r="M66" s="16">
        <f t="shared" si="26"/>
        <v>0</v>
      </c>
      <c r="N66" s="17">
        <f>VLOOKUP($C66,Items!$A$2:$AE$10014,4,FALSE)*A66</f>
        <v>0</v>
      </c>
      <c r="O66" s="9">
        <v>0</v>
      </c>
      <c r="P66" s="18">
        <f t="shared" si="27"/>
        <v>0</v>
      </c>
      <c r="Q66" s="16">
        <f t="shared" si="28"/>
        <v>2</v>
      </c>
      <c r="R66" s="61" t="str">
        <f>VLOOKUP($C66,Items!$A$2:$AE$10014,11,FALSE)</f>
        <v>Material</v>
      </c>
    </row>
    <row r="70" spans="1:18" ht="15.75" x14ac:dyDescent="0.25">
      <c r="A70" s="74">
        <v>1</v>
      </c>
      <c r="B70" s="74" t="s">
        <v>0</v>
      </c>
      <c r="C70" s="75" t="s">
        <v>289</v>
      </c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</row>
    <row r="71" spans="1:18" ht="39" x14ac:dyDescent="0.25">
      <c r="A71" s="1" t="s">
        <v>7</v>
      </c>
      <c r="B71" s="1" t="s">
        <v>3</v>
      </c>
      <c r="C71" s="1" t="s">
        <v>10</v>
      </c>
      <c r="D71" s="1" t="s">
        <v>4</v>
      </c>
      <c r="E71" s="3" t="s">
        <v>21</v>
      </c>
      <c r="F71" s="3" t="s">
        <v>26</v>
      </c>
      <c r="G71" s="3" t="s">
        <v>27</v>
      </c>
      <c r="H71" s="3" t="s">
        <v>145</v>
      </c>
      <c r="I71" s="3" t="s">
        <v>23</v>
      </c>
      <c r="J71" s="3" t="s">
        <v>146</v>
      </c>
      <c r="K71" s="3" t="s">
        <v>15</v>
      </c>
      <c r="L71" s="3" t="s">
        <v>8</v>
      </c>
      <c r="M71" s="3" t="s">
        <v>5</v>
      </c>
      <c r="N71" s="3" t="s">
        <v>11</v>
      </c>
      <c r="O71" s="3" t="s">
        <v>2</v>
      </c>
      <c r="P71" s="1" t="s">
        <v>1</v>
      </c>
      <c r="Q71" s="3" t="s">
        <v>6</v>
      </c>
      <c r="R71" s="3" t="s">
        <v>18</v>
      </c>
    </row>
    <row r="72" spans="1:18" x14ac:dyDescent="0.25">
      <c r="A72" s="6">
        <f>1*A70</f>
        <v>1</v>
      </c>
      <c r="B72" s="7" t="str">
        <f>VLOOKUP($C72,Items!$A$2:$AE$10014,5,FALSE)</f>
        <v>ea</v>
      </c>
      <c r="C72" s="41" t="s">
        <v>42</v>
      </c>
      <c r="D72" s="6" t="s">
        <v>288</v>
      </c>
      <c r="E72" s="28">
        <v>49</v>
      </c>
      <c r="F72" s="28">
        <v>84</v>
      </c>
      <c r="G72" s="28">
        <v>0.125</v>
      </c>
      <c r="H72" s="28">
        <f>IF(E72=0,+VLOOKUP($C72,Items!$A$2:$AE$10014,9,FALSE),+VLOOKUP($C72,Items!$A$2:$AE$10014,9,FALSE)*E72*F72*G72)</f>
        <v>214.37671500000002</v>
      </c>
      <c r="I72" s="29">
        <f>IF(E72=0,+VLOOKUP($C72,Items!$A$2:$AE$10014,10,FALSE)*A72,(A72*H72))</f>
        <v>214.37671500000002</v>
      </c>
      <c r="J72" s="8">
        <f>IF(E72=0,+VLOOKUP($C72,Items!$A$2:$AE$10014,3,FALSE),+VLOOKUP($C72,Items!$A$2:$AE$10014,3,FALSE)*H72)</f>
        <v>375.15925125000001</v>
      </c>
      <c r="K72" s="16">
        <f t="shared" ref="K72:K77" si="30">A72*J72</f>
        <v>375.15925125000001</v>
      </c>
      <c r="L72" s="36">
        <f>IF(R72="Labor",$D$2,$D$3)</f>
        <v>0</v>
      </c>
      <c r="M72" s="16">
        <f t="shared" ref="M72:M77" si="31">K72*L72</f>
        <v>0</v>
      </c>
      <c r="N72" s="17">
        <f>VLOOKUP($C72,Items!$A$2:$AE$10014,4,FALSE)*A72</f>
        <v>0</v>
      </c>
      <c r="O72" s="9">
        <v>0</v>
      </c>
      <c r="P72" s="18">
        <f t="shared" ref="P72:P77" si="32">IF(O72=1,(K72+M72)*($D$1),0)</f>
        <v>0</v>
      </c>
      <c r="Q72" s="16">
        <f t="shared" ref="Q72:Q77" si="33">ROUNDUP(K72+M72+N72+P72,0)</f>
        <v>376</v>
      </c>
      <c r="R72" s="61" t="str">
        <f>VLOOKUP($C72,Items!$A$2:$AE$10014,11,FALSE)</f>
        <v>Material</v>
      </c>
    </row>
    <row r="73" spans="1:18" x14ac:dyDescent="0.25">
      <c r="A73" s="6">
        <f>1*A70</f>
        <v>1</v>
      </c>
      <c r="B73" s="7" t="str">
        <f>VLOOKUP($C73,Items!$A$2:$AE$10014,5,FALSE)</f>
        <v>ea</v>
      </c>
      <c r="C73" s="41" t="s">
        <v>54</v>
      </c>
      <c r="D73" s="6" t="str">
        <f>VLOOKUP($C73,Items!$A$2:$AE$10014,2,FALSE)</f>
        <v>4' x 10' x 5/8" GWB</v>
      </c>
      <c r="E73" s="28">
        <f>VLOOKUP($C73,Items!$A$2:$AE$10014,6,FALSE)</f>
        <v>48</v>
      </c>
      <c r="F73" s="28">
        <f>VLOOKUP($C73,Items!$A$2:$AE$10014,7,FALSE)</f>
        <v>120</v>
      </c>
      <c r="G73" s="28">
        <f>VLOOKUP($C73,Items!$A$2:$AE$10014,8,FALSE)</f>
        <v>0.625</v>
      </c>
      <c r="H73" s="28">
        <f>IF(E73=0,+VLOOKUP($C73,Items!$A$2:$AE$10014,9,FALSE),+VLOOKUP($C73,Items!$A$2:$AE$10014,9,FALSE)*E73*F73*G73)</f>
        <v>105.012</v>
      </c>
      <c r="I73" s="29">
        <f>IF(E73=0,+VLOOKUP($C73,Items!$A$2:$AE$10014,10,FALSE)*A73,(A73*H73))</f>
        <v>105.012</v>
      </c>
      <c r="J73" s="8">
        <f>IF(E73=0,+VLOOKUP($C73,Items!$A$2:$AE$10014,3,FALSE),+VLOOKUP($C73,Items!$A$2:$AE$10014,3,FALSE)*H73)</f>
        <v>28.353240000000003</v>
      </c>
      <c r="K73" s="16">
        <f t="shared" si="30"/>
        <v>28.353240000000003</v>
      </c>
      <c r="L73" s="36">
        <f t="shared" ref="L73:L77" si="34">IF(R73="Labor",$D$2,$D$3)</f>
        <v>0</v>
      </c>
      <c r="M73" s="16">
        <f t="shared" si="31"/>
        <v>0</v>
      </c>
      <c r="N73" s="17">
        <f>VLOOKUP($C73,Items!$A$2:$AE$10014,4,FALSE)*A73</f>
        <v>0</v>
      </c>
      <c r="O73" s="9">
        <v>0</v>
      </c>
      <c r="P73" s="18">
        <f t="shared" si="32"/>
        <v>0</v>
      </c>
      <c r="Q73" s="16">
        <f t="shared" si="33"/>
        <v>29</v>
      </c>
      <c r="R73" s="61" t="str">
        <f>VLOOKUP($C73,Items!$A$2:$AE$10014,11,FALSE)</f>
        <v>Material</v>
      </c>
    </row>
    <row r="74" spans="1:18" x14ac:dyDescent="0.25">
      <c r="A74" s="6">
        <f>0.2*A70</f>
        <v>0.2</v>
      </c>
      <c r="B74" s="7" t="str">
        <f>VLOOKUP($C74,Items!$A$2:$AE$10014,5,FALSE)</f>
        <v>mh</v>
      </c>
      <c r="C74" s="41" t="s">
        <v>46</v>
      </c>
      <c r="D74" s="6" t="s">
        <v>152</v>
      </c>
      <c r="E74" s="28">
        <f>VLOOKUP($C74,Items!$A$2:$AE$10014,6,FALSE)</f>
        <v>0</v>
      </c>
      <c r="F74" s="28">
        <f>VLOOKUP($C74,Items!$A$2:$AE$10014,7,FALSE)</f>
        <v>0</v>
      </c>
      <c r="G74" s="28">
        <f>VLOOKUP($C74,Items!$A$2:$AE$10014,8,FALSE)</f>
        <v>0</v>
      </c>
      <c r="H74" s="28">
        <f>IF(E74=0,+VLOOKUP($C74,Items!$A$2:$AE$10014,9,FALSE),+VLOOKUP($C74,Items!$A$2:$AE$10014,9,FALSE)*E74*F74*G74)</f>
        <v>0</v>
      </c>
      <c r="I74" s="29">
        <f>IF(E74=0,+VLOOKUP($C74,Items!$A$2:$AE$10014,10,FALSE)*A74,(A74*H74))</f>
        <v>0</v>
      </c>
      <c r="J74" s="8">
        <f>IF(E74=0,+VLOOKUP($C74,Items!$A$2:$AE$10014,3,FALSE),+VLOOKUP($C74,Items!$A$2:$AE$10014,3,FALSE)*H74)</f>
        <v>38</v>
      </c>
      <c r="K74" s="16">
        <f t="shared" si="30"/>
        <v>7.6000000000000005</v>
      </c>
      <c r="L74" s="36">
        <f t="shared" si="34"/>
        <v>0</v>
      </c>
      <c r="M74" s="16">
        <f t="shared" si="31"/>
        <v>0</v>
      </c>
      <c r="N74" s="17">
        <f>VLOOKUP($C74,Items!$A$2:$AE$10014,4,FALSE)*A74</f>
        <v>3.2</v>
      </c>
      <c r="O74" s="9">
        <v>0</v>
      </c>
      <c r="P74" s="18">
        <f t="shared" si="32"/>
        <v>0</v>
      </c>
      <c r="Q74" s="16">
        <f t="shared" si="33"/>
        <v>11</v>
      </c>
      <c r="R74" s="61" t="str">
        <f>VLOOKUP($C74,Items!$A$2:$AE$10014,11,FALSE)</f>
        <v>Labor</v>
      </c>
    </row>
    <row r="75" spans="1:18" x14ac:dyDescent="0.25">
      <c r="A75" s="6">
        <f>0.3*A70</f>
        <v>0.3</v>
      </c>
      <c r="B75" s="7" t="str">
        <f>VLOOKUP($C75,Items!$A$2:$AE$10014,5,FALSE)</f>
        <v>gal</v>
      </c>
      <c r="C75" s="41" t="s">
        <v>28</v>
      </c>
      <c r="D75" s="6" t="str">
        <f>VLOOKUP($C75,Items!$A$2:$AE$10014,2,FALSE)</f>
        <v>Cold Press Glue</v>
      </c>
      <c r="E75" s="28">
        <f>VLOOKUP($C75,Items!$A$2:$AE$10014,6,FALSE)</f>
        <v>0</v>
      </c>
      <c r="F75" s="28">
        <f>VLOOKUP($C75,Items!$A$2:$AE$10014,7,FALSE)</f>
        <v>0</v>
      </c>
      <c r="G75" s="28">
        <f>VLOOKUP($C75,Items!$A$2:$AE$10014,8,FALSE)</f>
        <v>0</v>
      </c>
      <c r="H75" s="28">
        <f>IF(E75=0,+VLOOKUP($C75,Items!$A$2:$AE$10014,9,FALSE),+VLOOKUP($C75,Items!$A$2:$AE$10014,9,FALSE)*E75*F75*G75)</f>
        <v>0</v>
      </c>
      <c r="I75" s="29">
        <f>IF(E75=0,+VLOOKUP($C75,Items!$A$2:$AE$10014,10,FALSE)*A75,(A75*H75))</f>
        <v>0</v>
      </c>
      <c r="J75" s="8">
        <f>IF(E75=0,+VLOOKUP($C75,Items!$A$2:$AE$10014,3,FALSE),+VLOOKUP($C75,Items!$A$2:$AE$10014,3,FALSE)*H75)</f>
        <v>18</v>
      </c>
      <c r="K75" s="16">
        <f t="shared" si="30"/>
        <v>5.3999999999999995</v>
      </c>
      <c r="L75" s="36">
        <f t="shared" si="34"/>
        <v>0</v>
      </c>
      <c r="M75" s="16">
        <f t="shared" si="31"/>
        <v>0</v>
      </c>
      <c r="N75" s="17">
        <f>VLOOKUP($C75,Items!$A$2:$AE$10014,4,FALSE)*A75</f>
        <v>0</v>
      </c>
      <c r="O75" s="9">
        <v>0</v>
      </c>
      <c r="P75" s="18">
        <f t="shared" si="32"/>
        <v>0</v>
      </c>
      <c r="Q75" s="16">
        <f t="shared" si="33"/>
        <v>6</v>
      </c>
      <c r="R75" s="61" t="str">
        <f>VLOOKUP($C75,Items!$A$2:$AE$10014,11,FALSE)</f>
        <v>Material</v>
      </c>
    </row>
    <row r="76" spans="1:18" x14ac:dyDescent="0.25">
      <c r="A76" s="6">
        <f>0.0625*A70</f>
        <v>6.25E-2</v>
      </c>
      <c r="B76" s="7" t="str">
        <f>VLOOKUP($C76,Items!$A$2:$AE$10014,5,FALSE)</f>
        <v>ea</v>
      </c>
      <c r="C76" s="41" t="s">
        <v>44</v>
      </c>
      <c r="D76" s="6" t="str">
        <f>VLOOKUP($C76,Items!$A$2:$AE$10014,2,FALSE)</f>
        <v>Pallet - 10'</v>
      </c>
      <c r="E76" s="28">
        <f>VLOOKUP($C76,Items!$A$2:$AE$10014,6,FALSE)</f>
        <v>0</v>
      </c>
      <c r="F76" s="28">
        <f>VLOOKUP($C76,Items!$A$2:$AE$10014,7,FALSE)</f>
        <v>0</v>
      </c>
      <c r="G76" s="28">
        <f>VLOOKUP($C76,Items!$A$2:$AE$10014,8,FALSE)</f>
        <v>0</v>
      </c>
      <c r="H76" s="28">
        <f>IF(E76=0,+VLOOKUP($C76,Items!$A$2:$AE$10014,9,FALSE),+VLOOKUP($C76,Items!$A$2:$AE$10014,9,FALSE)*E76*F76*G76)</f>
        <v>0</v>
      </c>
      <c r="I76" s="29">
        <f>IF(E76=0,+VLOOKUP($C76,Items!$A$2:$AE$10014,10,FALSE)*A76,(A76*H76))</f>
        <v>3.125</v>
      </c>
      <c r="J76" s="8">
        <f>IF(E76=0,+VLOOKUP($C76,Items!$A$2:$AE$10014,3,FALSE),+VLOOKUP($C76,Items!$A$2:$AE$10014,3,FALSE)*H76)</f>
        <v>65</v>
      </c>
      <c r="K76" s="16">
        <f t="shared" si="30"/>
        <v>4.0625</v>
      </c>
      <c r="L76" s="36">
        <f t="shared" si="34"/>
        <v>0</v>
      </c>
      <c r="M76" s="16">
        <f t="shared" si="31"/>
        <v>0</v>
      </c>
      <c r="N76" s="17">
        <f>VLOOKUP($C76,Items!$A$2:$AE$10014,4,FALSE)*A76</f>
        <v>0</v>
      </c>
      <c r="O76" s="9">
        <v>0</v>
      </c>
      <c r="P76" s="18">
        <f t="shared" si="32"/>
        <v>0</v>
      </c>
      <c r="Q76" s="16">
        <f t="shared" si="33"/>
        <v>5</v>
      </c>
      <c r="R76" s="61" t="str">
        <f>VLOOKUP($C76,Items!$A$2:$AE$10014,11,FALSE)</f>
        <v>Material</v>
      </c>
    </row>
    <row r="77" spans="1:18" x14ac:dyDescent="0.25">
      <c r="A77" s="6">
        <f>0.0625*A70</f>
        <v>6.25E-2</v>
      </c>
      <c r="B77" s="7" t="str">
        <f>VLOOKUP($C77,Items!$A$2:$AE$10014,5,FALSE)</f>
        <v>ea</v>
      </c>
      <c r="C77" s="41" t="s">
        <v>50</v>
      </c>
      <c r="D77" s="6" t="s">
        <v>154</v>
      </c>
      <c r="E77" s="28">
        <f>VLOOKUP($C77,Items!$A$2:$AE$10014,6,FALSE)</f>
        <v>0</v>
      </c>
      <c r="F77" s="28">
        <f>VLOOKUP($C77,Items!$A$2:$AE$10014,7,FALSE)</f>
        <v>0</v>
      </c>
      <c r="G77" s="28">
        <f>VLOOKUP($C77,Items!$A$2:$AE$10014,8,FALSE)</f>
        <v>0</v>
      </c>
      <c r="H77" s="28">
        <f>IF(E77=0,+VLOOKUP($C77,Items!$A$2:$AE$10014,9,FALSE),+VLOOKUP($C77,Items!$A$2:$AE$10014,9,FALSE)*E77*F77*G77)</f>
        <v>0</v>
      </c>
      <c r="I77" s="29">
        <f>IF(E77=0,+VLOOKUP($C77,Items!$A$2:$AE$10014,10,FALSE)*A77,(A77*H77))</f>
        <v>0</v>
      </c>
      <c r="J77" s="8">
        <f>IF(E77=0,+VLOOKUP($C77,Items!$A$2:$AE$10014,3,FALSE),+VLOOKUP($C77,Items!$A$2:$AE$10014,3,FALSE)*H77)</f>
        <v>30</v>
      </c>
      <c r="K77" s="16">
        <f t="shared" si="30"/>
        <v>1.875</v>
      </c>
      <c r="L77" s="36">
        <f t="shared" si="34"/>
        <v>0</v>
      </c>
      <c r="M77" s="16">
        <f t="shared" si="31"/>
        <v>0</v>
      </c>
      <c r="N77" s="17">
        <f>VLOOKUP($C77,Items!$A$2:$AE$10014,4,FALSE)*A77</f>
        <v>0</v>
      </c>
      <c r="O77" s="9">
        <v>0</v>
      </c>
      <c r="P77" s="18">
        <f t="shared" si="32"/>
        <v>0</v>
      </c>
      <c r="Q77" s="16">
        <f t="shared" si="33"/>
        <v>2</v>
      </c>
      <c r="R77" s="61" t="str">
        <f>VLOOKUP($C77,Items!$A$2:$AE$10014,11,FALSE)</f>
        <v>Material</v>
      </c>
    </row>
    <row r="81" spans="1:18" ht="15.75" x14ac:dyDescent="0.25">
      <c r="A81" s="74">
        <v>1</v>
      </c>
      <c r="B81" s="74" t="s">
        <v>0</v>
      </c>
      <c r="C81" s="75" t="s">
        <v>197</v>
      </c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</row>
    <row r="82" spans="1:18" ht="39" x14ac:dyDescent="0.25">
      <c r="A82" s="1" t="s">
        <v>7</v>
      </c>
      <c r="B82" s="1" t="s">
        <v>3</v>
      </c>
      <c r="C82" s="1" t="s">
        <v>10</v>
      </c>
      <c r="D82" s="1" t="s">
        <v>4</v>
      </c>
      <c r="E82" s="3" t="s">
        <v>21</v>
      </c>
      <c r="F82" s="3" t="s">
        <v>26</v>
      </c>
      <c r="G82" s="3" t="s">
        <v>27</v>
      </c>
      <c r="H82" s="3" t="s">
        <v>145</v>
      </c>
      <c r="I82" s="3" t="s">
        <v>23</v>
      </c>
      <c r="J82" s="3" t="s">
        <v>146</v>
      </c>
      <c r="K82" s="3" t="s">
        <v>15</v>
      </c>
      <c r="L82" s="3" t="s">
        <v>8</v>
      </c>
      <c r="M82" s="3" t="s">
        <v>5</v>
      </c>
      <c r="N82" s="3" t="s">
        <v>11</v>
      </c>
      <c r="O82" s="3" t="s">
        <v>2</v>
      </c>
      <c r="P82" s="1" t="s">
        <v>1</v>
      </c>
      <c r="Q82" s="3" t="s">
        <v>6</v>
      </c>
      <c r="R82" s="3" t="s">
        <v>18</v>
      </c>
    </row>
    <row r="83" spans="1:18" x14ac:dyDescent="0.25">
      <c r="A83" s="6">
        <f>1*A81</f>
        <v>1</v>
      </c>
      <c r="B83" s="7" t="str">
        <f>VLOOKUP($C83,Items!$A$2:$AE$10014,5,FALSE)</f>
        <v>ea</v>
      </c>
      <c r="C83" s="41" t="s">
        <v>42</v>
      </c>
      <c r="D83" s="6"/>
      <c r="E83" s="28">
        <v>49</v>
      </c>
      <c r="F83" s="28">
        <v>84</v>
      </c>
      <c r="G83" s="28">
        <v>2.0000000000000001E-4</v>
      </c>
      <c r="H83" s="28">
        <f>IF(E83=0,+VLOOKUP($C83,Items!$A$2:$AE$10014,9,FALSE),+VLOOKUP($C83,Items!$A$2:$AE$10014,9,FALSE)*E83*F83*G83)</f>
        <v>0.34300274400000003</v>
      </c>
      <c r="I83" s="29">
        <f>IF(E83=0,+VLOOKUP($C83,Items!$A$2:$AE$10014,10,FALSE)*A83,(A83*H83))</f>
        <v>0.34300274400000003</v>
      </c>
      <c r="J83" s="8">
        <f>IF(E83=0,+VLOOKUP($C83,Items!$A$2:$AE$10014,3,FALSE),+VLOOKUP($C83,Items!$A$2:$AE$10014,3,FALSE)*H83)</f>
        <v>0.60025480200000003</v>
      </c>
      <c r="K83" s="16">
        <f t="shared" ref="K83:K88" si="35">A83*J83</f>
        <v>0.60025480200000003</v>
      </c>
      <c r="L83" s="36">
        <f>IF(R83="Labor",$D$2,$D$3)</f>
        <v>0</v>
      </c>
      <c r="M83" s="16">
        <f t="shared" ref="M83:M88" si="36">K83*L83</f>
        <v>0</v>
      </c>
      <c r="N83" s="17">
        <f>VLOOKUP($C83,Items!$A$2:$AE$10014,4,FALSE)*A83</f>
        <v>0</v>
      </c>
      <c r="O83" s="9">
        <v>0</v>
      </c>
      <c r="P83" s="18">
        <f t="shared" ref="P83:P88" si="37">IF(O83=1,(K83+M83)*($D$1),0)</f>
        <v>0</v>
      </c>
      <c r="Q83" s="16">
        <f t="shared" ref="Q83:Q88" si="38">ROUNDUP(K83+M83+N83+P83,0)</f>
        <v>1</v>
      </c>
      <c r="R83" s="61" t="str">
        <f>VLOOKUP($C83,Items!$A$2:$AE$10014,11,FALSE)</f>
        <v>Material</v>
      </c>
    </row>
    <row r="84" spans="1:18" x14ac:dyDescent="0.25">
      <c r="A84" s="6">
        <f>1*A81</f>
        <v>1</v>
      </c>
      <c r="B84" s="7" t="str">
        <f>VLOOKUP($C84,Items!$A$2:$AE$10014,5,FALSE)</f>
        <v>ea</v>
      </c>
      <c r="C84" s="41" t="s">
        <v>209</v>
      </c>
      <c r="D84" s="6" t="str">
        <f>VLOOKUP($C84,Items!$A$2:$AE$10014,2,FALSE)</f>
        <v>4' x 12' x 5/8" GWB</v>
      </c>
      <c r="E84" s="28">
        <f>VLOOKUP($C84,Items!$A$2:$AE$10014,6,FALSE)</f>
        <v>48</v>
      </c>
      <c r="F84" s="28">
        <f>VLOOKUP($C84,Items!$A$2:$AE$10014,7,FALSE)</f>
        <v>144</v>
      </c>
      <c r="G84" s="28">
        <f>VLOOKUP($C84,Items!$A$2:$AE$10014,8,FALSE)</f>
        <v>0.625</v>
      </c>
      <c r="H84" s="28">
        <f>IF(E84=0,+VLOOKUP($C84,Items!$A$2:$AE$10014,9,FALSE),+VLOOKUP($C84,Items!$A$2:$AE$10014,9,FALSE)*E84*F84*G84)</f>
        <v>126.01439999999999</v>
      </c>
      <c r="I84" s="29">
        <f>IF(E84=0,+VLOOKUP($C84,Items!$A$2:$AE$10014,10,FALSE)*A84,(A84*H84))</f>
        <v>126.01439999999999</v>
      </c>
      <c r="J84" s="8">
        <f>IF(E84=0,+VLOOKUP($C84,Items!$A$2:$AE$10014,3,FALSE),+VLOOKUP($C84,Items!$A$2:$AE$10014,3,FALSE)*H84)</f>
        <v>27.723167999999998</v>
      </c>
      <c r="K84" s="16">
        <f t="shared" si="35"/>
        <v>27.723167999999998</v>
      </c>
      <c r="L84" s="36">
        <f t="shared" ref="L84:L88" si="39">IF(R84="Labor",$D$2,$D$3)</f>
        <v>0</v>
      </c>
      <c r="M84" s="16">
        <f t="shared" si="36"/>
        <v>0</v>
      </c>
      <c r="N84" s="17">
        <f>VLOOKUP($C84,Items!$A$2:$AE$10014,4,FALSE)*A84</f>
        <v>0</v>
      </c>
      <c r="O84" s="9">
        <v>0</v>
      </c>
      <c r="P84" s="18">
        <f t="shared" si="37"/>
        <v>0</v>
      </c>
      <c r="Q84" s="16">
        <f t="shared" si="38"/>
        <v>28</v>
      </c>
      <c r="R84" s="61" t="str">
        <f>VLOOKUP($C84,Items!$A$2:$AE$10014,11,FALSE)</f>
        <v>Material</v>
      </c>
    </row>
    <row r="85" spans="1:18" x14ac:dyDescent="0.25">
      <c r="A85" s="6">
        <f>0.2*A81</f>
        <v>0.2</v>
      </c>
      <c r="B85" s="7" t="str">
        <f>VLOOKUP($C85,Items!$A$2:$AE$10014,5,FALSE)</f>
        <v>mh</v>
      </c>
      <c r="C85" s="41" t="s">
        <v>46</v>
      </c>
      <c r="D85" s="6" t="s">
        <v>152</v>
      </c>
      <c r="E85" s="28">
        <f>VLOOKUP($C85,Items!$A$2:$AE$10014,6,FALSE)</f>
        <v>0</v>
      </c>
      <c r="F85" s="28">
        <f>VLOOKUP($C85,Items!$A$2:$AE$10014,7,FALSE)</f>
        <v>0</v>
      </c>
      <c r="G85" s="28">
        <f>VLOOKUP($C85,Items!$A$2:$AE$10014,8,FALSE)</f>
        <v>0</v>
      </c>
      <c r="H85" s="28">
        <f>IF(E85=0,+VLOOKUP($C85,Items!$A$2:$AE$10014,9,FALSE),+VLOOKUP($C85,Items!$A$2:$AE$10014,9,FALSE)*E85*F85*G85)</f>
        <v>0</v>
      </c>
      <c r="I85" s="29">
        <f>IF(E85=0,+VLOOKUP($C85,Items!$A$2:$AE$10014,10,FALSE)*A85,(A85*H85))</f>
        <v>0</v>
      </c>
      <c r="J85" s="8">
        <f>IF(E85=0,+VLOOKUP($C85,Items!$A$2:$AE$10014,3,FALSE),+VLOOKUP($C85,Items!$A$2:$AE$10014,3,FALSE)*H85)</f>
        <v>38</v>
      </c>
      <c r="K85" s="16">
        <f t="shared" si="35"/>
        <v>7.6000000000000005</v>
      </c>
      <c r="L85" s="36">
        <f t="shared" si="39"/>
        <v>0</v>
      </c>
      <c r="M85" s="16">
        <f t="shared" si="36"/>
        <v>0</v>
      </c>
      <c r="N85" s="17">
        <f>VLOOKUP($C85,Items!$A$2:$AE$10014,4,FALSE)*A85</f>
        <v>3.2</v>
      </c>
      <c r="O85" s="9">
        <v>0</v>
      </c>
      <c r="P85" s="18">
        <f t="shared" si="37"/>
        <v>0</v>
      </c>
      <c r="Q85" s="16">
        <f t="shared" si="38"/>
        <v>11</v>
      </c>
      <c r="R85" s="61" t="str">
        <f>VLOOKUP($C85,Items!$A$2:$AE$10014,11,FALSE)</f>
        <v>Labor</v>
      </c>
    </row>
    <row r="86" spans="1:18" x14ac:dyDescent="0.25">
      <c r="A86" s="6">
        <f>0.3*A81</f>
        <v>0.3</v>
      </c>
      <c r="B86" s="7" t="str">
        <f>VLOOKUP($C86,Items!$A$2:$AE$10014,5,FALSE)</f>
        <v>gal</v>
      </c>
      <c r="C86" s="41" t="s">
        <v>28</v>
      </c>
      <c r="D86" s="6" t="str">
        <f>VLOOKUP($C86,Items!$A$2:$AE$10014,2,FALSE)</f>
        <v>Cold Press Glue</v>
      </c>
      <c r="E86" s="28">
        <f>VLOOKUP($C86,Items!$A$2:$AE$10014,6,FALSE)</f>
        <v>0</v>
      </c>
      <c r="F86" s="28">
        <f>VLOOKUP($C86,Items!$A$2:$AE$10014,7,FALSE)</f>
        <v>0</v>
      </c>
      <c r="G86" s="28">
        <f>VLOOKUP($C86,Items!$A$2:$AE$10014,8,FALSE)</f>
        <v>0</v>
      </c>
      <c r="H86" s="28">
        <f>IF(E86=0,+VLOOKUP($C86,Items!$A$2:$AE$10014,9,FALSE),+VLOOKUP($C86,Items!$A$2:$AE$10014,9,FALSE)*E86*F86*G86)</f>
        <v>0</v>
      </c>
      <c r="I86" s="29">
        <f>IF(E86=0,+VLOOKUP($C86,Items!$A$2:$AE$10014,10,FALSE)*A86,(A86*H86))</f>
        <v>0</v>
      </c>
      <c r="J86" s="8">
        <f>IF(E86=0,+VLOOKUP($C86,Items!$A$2:$AE$10014,3,FALSE),+VLOOKUP($C86,Items!$A$2:$AE$10014,3,FALSE)*H86)</f>
        <v>18</v>
      </c>
      <c r="K86" s="16">
        <f t="shared" si="35"/>
        <v>5.3999999999999995</v>
      </c>
      <c r="L86" s="36">
        <f t="shared" si="39"/>
        <v>0</v>
      </c>
      <c r="M86" s="16">
        <f t="shared" si="36"/>
        <v>0</v>
      </c>
      <c r="N86" s="17">
        <f>VLOOKUP($C86,Items!$A$2:$AE$10014,4,FALSE)*A86</f>
        <v>0</v>
      </c>
      <c r="O86" s="9">
        <v>0</v>
      </c>
      <c r="P86" s="18">
        <f t="shared" si="37"/>
        <v>0</v>
      </c>
      <c r="Q86" s="16">
        <f t="shared" si="38"/>
        <v>6</v>
      </c>
      <c r="R86" s="61" t="str">
        <f>VLOOKUP($C86,Items!$A$2:$AE$10014,11,FALSE)</f>
        <v>Material</v>
      </c>
    </row>
    <row r="87" spans="1:18" x14ac:dyDescent="0.25">
      <c r="A87" s="6">
        <f>0.0625*A81</f>
        <v>6.25E-2</v>
      </c>
      <c r="B87" s="7" t="str">
        <f>VLOOKUP($C87,Items!$A$2:$AE$10014,5,FALSE)</f>
        <v>ea</v>
      </c>
      <c r="C87" s="41" t="s">
        <v>120</v>
      </c>
      <c r="D87" s="6">
        <f>VLOOKUP($C87,Items!$A$2:$AE$10014,2,FALSE)</f>
        <v>0</v>
      </c>
      <c r="E87" s="28">
        <f>VLOOKUP($C87,Items!$A$2:$AE$10014,6,FALSE)</f>
        <v>0</v>
      </c>
      <c r="F87" s="28">
        <f>VLOOKUP($C87,Items!$A$2:$AE$10014,7,FALSE)</f>
        <v>0</v>
      </c>
      <c r="G87" s="28">
        <f>VLOOKUP($C87,Items!$A$2:$AE$10014,8,FALSE)</f>
        <v>0</v>
      </c>
      <c r="H87" s="28">
        <f>IF(E87=0,+VLOOKUP($C87,Items!$A$2:$AE$10014,9,FALSE),+VLOOKUP($C87,Items!$A$2:$AE$10014,9,FALSE)*E87*F87*G87)</f>
        <v>0</v>
      </c>
      <c r="I87" s="29">
        <f>IF(E87=0,+VLOOKUP($C87,Items!$A$2:$AE$10014,10,FALSE)*A87,(A87*H87))</f>
        <v>0</v>
      </c>
      <c r="J87" s="8">
        <f>IF(E87=0,+VLOOKUP($C87,Items!$A$2:$AE$10014,3,FALSE),+VLOOKUP($C87,Items!$A$2:$AE$10014,3,FALSE)*H87)</f>
        <v>65</v>
      </c>
      <c r="K87" s="16">
        <f t="shared" si="35"/>
        <v>4.0625</v>
      </c>
      <c r="L87" s="36">
        <f t="shared" si="39"/>
        <v>0</v>
      </c>
      <c r="M87" s="16">
        <f t="shared" si="36"/>
        <v>0</v>
      </c>
      <c r="N87" s="17">
        <f>VLOOKUP($C87,Items!$A$2:$AE$10014,4,FALSE)*A87</f>
        <v>0</v>
      </c>
      <c r="O87" s="9">
        <v>0</v>
      </c>
      <c r="P87" s="18">
        <f t="shared" si="37"/>
        <v>0</v>
      </c>
      <c r="Q87" s="16">
        <f t="shared" si="38"/>
        <v>5</v>
      </c>
      <c r="R87" s="61" t="str">
        <f>VLOOKUP($C87,Items!$A$2:$AE$10014,11,FALSE)</f>
        <v>Material</v>
      </c>
    </row>
    <row r="88" spans="1:18" x14ac:dyDescent="0.25">
      <c r="A88" s="6">
        <f>0.0625*A81</f>
        <v>6.25E-2</v>
      </c>
      <c r="B88" s="7" t="str">
        <f>VLOOKUP($C88,Items!$A$2:$AE$10014,5,FALSE)</f>
        <v>ea</v>
      </c>
      <c r="C88" s="41" t="s">
        <v>50</v>
      </c>
      <c r="D88" s="6" t="s">
        <v>154</v>
      </c>
      <c r="E88" s="28">
        <f>VLOOKUP($C88,Items!$A$2:$AE$10014,6,FALSE)</f>
        <v>0</v>
      </c>
      <c r="F88" s="28">
        <f>VLOOKUP($C88,Items!$A$2:$AE$10014,7,FALSE)</f>
        <v>0</v>
      </c>
      <c r="G88" s="28">
        <f>VLOOKUP($C88,Items!$A$2:$AE$10014,8,FALSE)</f>
        <v>0</v>
      </c>
      <c r="H88" s="28">
        <f>IF(E88=0,+VLOOKUP($C88,Items!$A$2:$AE$10014,9,FALSE),+VLOOKUP($C88,Items!$A$2:$AE$10014,9,FALSE)*E88*F88*G88)</f>
        <v>0</v>
      </c>
      <c r="I88" s="29">
        <f>IF(E88=0,+VLOOKUP($C88,Items!$A$2:$AE$10014,10,FALSE)*A88,(A88*H88))</f>
        <v>0</v>
      </c>
      <c r="J88" s="8">
        <f>IF(E88=0,+VLOOKUP($C88,Items!$A$2:$AE$10014,3,FALSE),+VLOOKUP($C88,Items!$A$2:$AE$10014,3,FALSE)*H88)</f>
        <v>30</v>
      </c>
      <c r="K88" s="16">
        <f t="shared" si="35"/>
        <v>1.875</v>
      </c>
      <c r="L88" s="36">
        <f t="shared" si="39"/>
        <v>0</v>
      </c>
      <c r="M88" s="16">
        <f t="shared" si="36"/>
        <v>0</v>
      </c>
      <c r="N88" s="17">
        <f>VLOOKUP($C88,Items!$A$2:$AE$10014,4,FALSE)*A88</f>
        <v>0</v>
      </c>
      <c r="O88" s="9">
        <v>0</v>
      </c>
      <c r="P88" s="18">
        <f t="shared" si="37"/>
        <v>0</v>
      </c>
      <c r="Q88" s="16">
        <f t="shared" si="38"/>
        <v>2</v>
      </c>
      <c r="R88" s="61" t="str">
        <f>VLOOKUP($C88,Items!$A$2:$AE$10014,11,FALSE)</f>
        <v>Material</v>
      </c>
    </row>
  </sheetData>
  <conditionalFormatting sqref="E6:G11">
    <cfRule type="cellIs" dxfId="211" priority="72" operator="lessThanOrEqual">
      <formula>0.0001</formula>
    </cfRule>
  </conditionalFormatting>
  <conditionalFormatting sqref="B6:B11">
    <cfRule type="cellIs" dxfId="210" priority="71" operator="equal">
      <formula>0</formula>
    </cfRule>
  </conditionalFormatting>
  <conditionalFormatting sqref="D6:D11">
    <cfRule type="cellIs" dxfId="209" priority="70" operator="equal">
      <formula>0</formula>
    </cfRule>
  </conditionalFormatting>
  <conditionalFormatting sqref="H6 H7:I11">
    <cfRule type="cellIs" dxfId="208" priority="69" operator="equal">
      <formula>$E6</formula>
    </cfRule>
  </conditionalFormatting>
  <conditionalFormatting sqref="I6">
    <cfRule type="cellIs" dxfId="207" priority="68" operator="equal">
      <formula>$E6</formula>
    </cfRule>
  </conditionalFormatting>
  <conditionalFormatting sqref="R6:R11">
    <cfRule type="cellIs" dxfId="206" priority="57" operator="lessThanOrEqual">
      <formula>0.001</formula>
    </cfRule>
  </conditionalFormatting>
  <conditionalFormatting sqref="E17:G22">
    <cfRule type="cellIs" dxfId="205" priority="56" operator="lessThanOrEqual">
      <formula>0.0001</formula>
    </cfRule>
  </conditionalFormatting>
  <conditionalFormatting sqref="B17:B22">
    <cfRule type="cellIs" dxfId="204" priority="55" operator="equal">
      <formula>0</formula>
    </cfRule>
  </conditionalFormatting>
  <conditionalFormatting sqref="D17:D22">
    <cfRule type="cellIs" dxfId="203" priority="54" operator="equal">
      <formula>0</formula>
    </cfRule>
  </conditionalFormatting>
  <conditionalFormatting sqref="H17 H18:I22">
    <cfRule type="cellIs" dxfId="202" priority="53" operator="equal">
      <formula>$E17</formula>
    </cfRule>
  </conditionalFormatting>
  <conditionalFormatting sqref="I17">
    <cfRule type="cellIs" dxfId="201" priority="52" operator="equal">
      <formula>$E17</formula>
    </cfRule>
  </conditionalFormatting>
  <conditionalFormatting sqref="R17:R22">
    <cfRule type="cellIs" dxfId="200" priority="51" operator="lessThanOrEqual">
      <formula>0.001</formula>
    </cfRule>
  </conditionalFormatting>
  <conditionalFormatting sqref="E28:G33">
    <cfRule type="cellIs" dxfId="199" priority="50" operator="lessThanOrEqual">
      <formula>0.0001</formula>
    </cfRule>
  </conditionalFormatting>
  <conditionalFormatting sqref="B28:B33">
    <cfRule type="cellIs" dxfId="198" priority="49" operator="equal">
      <formula>0</formula>
    </cfRule>
  </conditionalFormatting>
  <conditionalFormatting sqref="D28:D33">
    <cfRule type="cellIs" dxfId="197" priority="48" operator="equal">
      <formula>0</formula>
    </cfRule>
  </conditionalFormatting>
  <conditionalFormatting sqref="H28 H29:I33">
    <cfRule type="cellIs" dxfId="196" priority="47" operator="equal">
      <formula>$E28</formula>
    </cfRule>
  </conditionalFormatting>
  <conditionalFormatting sqref="I28">
    <cfRule type="cellIs" dxfId="195" priority="46" operator="equal">
      <formula>$E28</formula>
    </cfRule>
  </conditionalFormatting>
  <conditionalFormatting sqref="R28:R33">
    <cfRule type="cellIs" dxfId="194" priority="45" operator="lessThanOrEqual">
      <formula>0.001</formula>
    </cfRule>
  </conditionalFormatting>
  <conditionalFormatting sqref="E39:G44">
    <cfRule type="cellIs" dxfId="193" priority="44" operator="lessThanOrEqual">
      <formula>0.0001</formula>
    </cfRule>
  </conditionalFormatting>
  <conditionalFormatting sqref="B39:B44">
    <cfRule type="cellIs" dxfId="192" priority="43" operator="equal">
      <formula>0</formula>
    </cfRule>
  </conditionalFormatting>
  <conditionalFormatting sqref="D39:D44">
    <cfRule type="cellIs" dxfId="191" priority="42" operator="equal">
      <formula>0</formula>
    </cfRule>
  </conditionalFormatting>
  <conditionalFormatting sqref="H39 H40:I44">
    <cfRule type="cellIs" dxfId="190" priority="41" operator="equal">
      <formula>$E39</formula>
    </cfRule>
  </conditionalFormatting>
  <conditionalFormatting sqref="I39">
    <cfRule type="cellIs" dxfId="189" priority="40" operator="equal">
      <formula>$E39</formula>
    </cfRule>
  </conditionalFormatting>
  <conditionalFormatting sqref="R39:R44">
    <cfRule type="cellIs" dxfId="188" priority="39" operator="lessThanOrEqual">
      <formula>0.001</formula>
    </cfRule>
  </conditionalFormatting>
  <conditionalFormatting sqref="E50:G55">
    <cfRule type="cellIs" dxfId="187" priority="38" operator="lessThanOrEqual">
      <formula>0.0001</formula>
    </cfRule>
  </conditionalFormatting>
  <conditionalFormatting sqref="B50:B55">
    <cfRule type="cellIs" dxfId="186" priority="37" operator="equal">
      <formula>0</formula>
    </cfRule>
  </conditionalFormatting>
  <conditionalFormatting sqref="D50:D55">
    <cfRule type="cellIs" dxfId="185" priority="36" operator="equal">
      <formula>0</formula>
    </cfRule>
  </conditionalFormatting>
  <conditionalFormatting sqref="H50 H51:I55">
    <cfRule type="cellIs" dxfId="184" priority="35" operator="equal">
      <formula>$E50</formula>
    </cfRule>
  </conditionalFormatting>
  <conditionalFormatting sqref="I50">
    <cfRule type="cellIs" dxfId="183" priority="34" operator="equal">
      <formula>$E50</formula>
    </cfRule>
  </conditionalFormatting>
  <conditionalFormatting sqref="R50:R55">
    <cfRule type="cellIs" dxfId="182" priority="33" operator="lessThanOrEqual">
      <formula>0.001</formula>
    </cfRule>
  </conditionalFormatting>
  <conditionalFormatting sqref="E61:G66">
    <cfRule type="cellIs" dxfId="181" priority="32" operator="lessThanOrEqual">
      <formula>0.0001</formula>
    </cfRule>
  </conditionalFormatting>
  <conditionalFormatting sqref="B61:B66">
    <cfRule type="cellIs" dxfId="180" priority="31" operator="equal">
      <formula>0</formula>
    </cfRule>
  </conditionalFormatting>
  <conditionalFormatting sqref="D61:D66">
    <cfRule type="cellIs" dxfId="179" priority="30" operator="equal">
      <formula>0</formula>
    </cfRule>
  </conditionalFormatting>
  <conditionalFormatting sqref="H61 H62:I66">
    <cfRule type="cellIs" dxfId="178" priority="29" operator="equal">
      <formula>$E61</formula>
    </cfRule>
  </conditionalFormatting>
  <conditionalFormatting sqref="I61">
    <cfRule type="cellIs" dxfId="177" priority="28" operator="equal">
      <formula>$E61</formula>
    </cfRule>
  </conditionalFormatting>
  <conditionalFormatting sqref="R61:R66">
    <cfRule type="cellIs" dxfId="176" priority="27" operator="lessThanOrEqual">
      <formula>0.001</formula>
    </cfRule>
  </conditionalFormatting>
  <conditionalFormatting sqref="E72:G77">
    <cfRule type="cellIs" dxfId="175" priority="26" operator="lessThanOrEqual">
      <formula>0.0001</formula>
    </cfRule>
  </conditionalFormatting>
  <conditionalFormatting sqref="B72:B77">
    <cfRule type="cellIs" dxfId="174" priority="25" operator="equal">
      <formula>0</formula>
    </cfRule>
  </conditionalFormatting>
  <conditionalFormatting sqref="D72:D77">
    <cfRule type="cellIs" dxfId="173" priority="24" operator="equal">
      <formula>0</formula>
    </cfRule>
  </conditionalFormatting>
  <conditionalFormatting sqref="H72 H73:I77">
    <cfRule type="cellIs" dxfId="172" priority="23" operator="equal">
      <formula>$E72</formula>
    </cfRule>
  </conditionalFormatting>
  <conditionalFormatting sqref="I72">
    <cfRule type="cellIs" dxfId="171" priority="22" operator="equal">
      <formula>$E72</formula>
    </cfRule>
  </conditionalFormatting>
  <conditionalFormatting sqref="R72:R77">
    <cfRule type="cellIs" dxfId="170" priority="21" operator="lessThanOrEqual">
      <formula>0.001</formula>
    </cfRule>
  </conditionalFormatting>
  <conditionalFormatting sqref="E83:G88">
    <cfRule type="cellIs" dxfId="169" priority="20" operator="lessThanOrEqual">
      <formula>0.0001</formula>
    </cfRule>
  </conditionalFormatting>
  <conditionalFormatting sqref="B83:B88">
    <cfRule type="cellIs" dxfId="168" priority="19" operator="equal">
      <formula>0</formula>
    </cfRule>
  </conditionalFormatting>
  <conditionalFormatting sqref="D83:D88">
    <cfRule type="cellIs" dxfId="167" priority="18" operator="equal">
      <formula>0</formula>
    </cfRule>
  </conditionalFormatting>
  <conditionalFormatting sqref="H83 H84:I88">
    <cfRule type="cellIs" dxfId="166" priority="17" operator="equal">
      <formula>$E83</formula>
    </cfRule>
  </conditionalFormatting>
  <conditionalFormatting sqref="I83">
    <cfRule type="cellIs" dxfId="165" priority="16" operator="equal">
      <formula>$E83</formula>
    </cfRule>
  </conditionalFormatting>
  <conditionalFormatting sqref="R83:R88">
    <cfRule type="cellIs" dxfId="164" priority="15" operator="lessThanOrEqual">
      <formula>0.001</formula>
    </cfRule>
  </conditionalFormatting>
  <conditionalFormatting sqref="D21">
    <cfRule type="cellIs" dxfId="163" priority="14" operator="equal">
      <formula>0</formula>
    </cfRule>
  </conditionalFormatting>
  <conditionalFormatting sqref="D32">
    <cfRule type="cellIs" dxfId="162" priority="13" operator="equal">
      <formula>0</formula>
    </cfRule>
  </conditionalFormatting>
  <conditionalFormatting sqref="D43">
    <cfRule type="cellIs" dxfId="161" priority="12" operator="equal">
      <formula>0</formula>
    </cfRule>
  </conditionalFormatting>
  <conditionalFormatting sqref="D54">
    <cfRule type="cellIs" dxfId="160" priority="11" operator="equal">
      <formula>0</formula>
    </cfRule>
  </conditionalFormatting>
  <conditionalFormatting sqref="D65">
    <cfRule type="cellIs" dxfId="159" priority="10" operator="equal">
      <formula>0</formula>
    </cfRule>
  </conditionalFormatting>
  <conditionalFormatting sqref="D76">
    <cfRule type="cellIs" dxfId="158" priority="9" operator="equal">
      <formula>0</formula>
    </cfRule>
  </conditionalFormatting>
  <conditionalFormatting sqref="D87">
    <cfRule type="cellIs" dxfId="157" priority="8" operator="equal">
      <formula>0</formula>
    </cfRule>
  </conditionalFormatting>
  <conditionalFormatting sqref="R17:R22">
    <cfRule type="cellIs" dxfId="156" priority="7" operator="lessThanOrEqual">
      <formula>0.001</formula>
    </cfRule>
  </conditionalFormatting>
  <conditionalFormatting sqref="R28:R33">
    <cfRule type="cellIs" dxfId="155" priority="6" operator="lessThanOrEqual">
      <formula>0.001</formula>
    </cfRule>
  </conditionalFormatting>
  <conditionalFormatting sqref="R39:R44">
    <cfRule type="cellIs" dxfId="154" priority="5" operator="lessThanOrEqual">
      <formula>0.001</formula>
    </cfRule>
  </conditionalFormatting>
  <conditionalFormatting sqref="R50:R55">
    <cfRule type="cellIs" dxfId="153" priority="4" operator="lessThanOrEqual">
      <formula>0.001</formula>
    </cfRule>
  </conditionalFormatting>
  <conditionalFormatting sqref="R61:R66">
    <cfRule type="cellIs" dxfId="152" priority="3" operator="lessThanOrEqual">
      <formula>0.001</formula>
    </cfRule>
  </conditionalFormatting>
  <conditionalFormatting sqref="R72:R77">
    <cfRule type="cellIs" dxfId="151" priority="2" operator="lessThanOrEqual">
      <formula>0.001</formula>
    </cfRule>
  </conditionalFormatting>
  <conditionalFormatting sqref="R83:R88">
    <cfRule type="cellIs" dxfId="150" priority="1" operator="lessThanOrEqual">
      <formula>0.001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C1E3A-0161-4DA3-9F82-E191B6135284}">
          <x14:formula1>
            <xm:f>Items!A28:A100036</xm:f>
          </x14:formula1>
          <xm:sqref>C83:C88 C28:C33 C39:C44 C50:C55 C61:C66 C72:C77</xm:sqref>
        </x14:dataValidation>
        <x14:dataValidation type="list" allowBlank="1" showInputMessage="1" showErrorMessage="1" xr:uid="{1F614732-16CB-456E-8DCA-13EEC76AD784}">
          <x14:formula1>
            <xm:f>Items!A16:A100025</xm:f>
          </x14:formula1>
          <xm:sqref>C17:C22</xm:sqref>
        </x14:dataValidation>
        <x14:dataValidation type="list" allowBlank="1" showInputMessage="1" showErrorMessage="1" xr:uid="{C77A3BD4-6B4B-4817-856A-4E81BBE74FA0}">
          <x14:formula1>
            <xm:f>Items!A2:A100014</xm:f>
          </x14:formula1>
          <xm:sqref>C6:C11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29"/>
  <sheetViews>
    <sheetView workbookViewId="0">
      <selection activeCell="C15" sqref="C15"/>
    </sheetView>
  </sheetViews>
  <sheetFormatPr defaultColWidth="9.140625" defaultRowHeight="15" x14ac:dyDescent="0.25"/>
  <cols>
    <col min="2" max="2" width="20.7109375" customWidth="1"/>
    <col min="3" max="3" width="11.28515625" customWidth="1"/>
    <col min="6" max="6" width="20.42578125" customWidth="1"/>
  </cols>
  <sheetData>
    <row r="1" spans="1:8" ht="27" thickTop="1" x14ac:dyDescent="0.4">
      <c r="A1" s="79" t="s">
        <v>157</v>
      </c>
      <c r="B1" s="80"/>
      <c r="C1" s="80"/>
      <c r="D1" s="80"/>
      <c r="E1" s="80"/>
      <c r="F1" s="80"/>
      <c r="G1" s="80"/>
      <c r="H1" s="81"/>
    </row>
    <row r="2" spans="1:8" x14ac:dyDescent="0.25">
      <c r="A2" s="45"/>
      <c r="B2" s="46"/>
      <c r="C2" s="46"/>
      <c r="D2" s="46"/>
      <c r="E2" s="46"/>
      <c r="F2" s="46"/>
      <c r="G2" s="46"/>
      <c r="H2" s="47"/>
    </row>
    <row r="3" spans="1:8" x14ac:dyDescent="0.25">
      <c r="A3" s="45"/>
      <c r="B3" s="48" t="s">
        <v>158</v>
      </c>
      <c r="C3" s="46"/>
      <c r="D3" s="46"/>
      <c r="E3" s="46"/>
      <c r="F3" s="46"/>
      <c r="G3" s="46"/>
      <c r="H3" s="47"/>
    </row>
    <row r="4" spans="1:8" x14ac:dyDescent="0.25">
      <c r="A4" s="45"/>
      <c r="B4" s="46"/>
      <c r="C4" s="46"/>
      <c r="D4" s="46"/>
      <c r="E4" s="46"/>
      <c r="F4" s="46"/>
      <c r="G4" s="46"/>
      <c r="H4" s="47"/>
    </row>
    <row r="5" spans="1:8" ht="18" x14ac:dyDescent="0.25">
      <c r="A5" s="45"/>
      <c r="B5" s="49" t="s">
        <v>159</v>
      </c>
      <c r="C5" s="46"/>
      <c r="D5" s="46"/>
      <c r="E5" s="46"/>
      <c r="F5" s="50" t="s">
        <v>160</v>
      </c>
      <c r="G5" s="46"/>
      <c r="H5" s="47"/>
    </row>
    <row r="6" spans="1:8" x14ac:dyDescent="0.25">
      <c r="A6" s="45"/>
      <c r="B6" s="46"/>
      <c r="C6" s="46"/>
      <c r="D6" s="46"/>
      <c r="E6" s="46"/>
      <c r="F6" s="46"/>
      <c r="G6" s="46"/>
      <c r="H6" s="47"/>
    </row>
    <row r="7" spans="1:8" x14ac:dyDescent="0.25">
      <c r="A7" s="45"/>
      <c r="B7" s="46" t="s">
        <v>161</v>
      </c>
      <c r="C7" s="42">
        <v>49</v>
      </c>
      <c r="D7" s="46" t="s">
        <v>162</v>
      </c>
      <c r="E7" s="46"/>
      <c r="F7" s="46" t="s">
        <v>163</v>
      </c>
      <c r="G7" s="43">
        <v>100</v>
      </c>
      <c r="H7" s="47" t="s">
        <v>164</v>
      </c>
    </row>
    <row r="8" spans="1:8" x14ac:dyDescent="0.25">
      <c r="A8" s="45"/>
      <c r="B8" s="46" t="s">
        <v>165</v>
      </c>
      <c r="C8" s="42">
        <v>84</v>
      </c>
      <c r="D8" s="46" t="s">
        <v>162</v>
      </c>
      <c r="E8" s="46"/>
      <c r="F8" s="46" t="s">
        <v>166</v>
      </c>
      <c r="G8" s="43">
        <v>0</v>
      </c>
      <c r="H8" s="47" t="s">
        <v>164</v>
      </c>
    </row>
    <row r="9" spans="1:8" x14ac:dyDescent="0.25">
      <c r="A9" s="45"/>
      <c r="B9" s="46" t="s">
        <v>167</v>
      </c>
      <c r="C9" s="44">
        <v>6.25E-2</v>
      </c>
      <c r="D9" s="46" t="s">
        <v>162</v>
      </c>
      <c r="E9" s="46"/>
      <c r="F9" s="46" t="s">
        <v>168</v>
      </c>
      <c r="G9" s="43">
        <v>0</v>
      </c>
      <c r="H9" s="47" t="s">
        <v>164</v>
      </c>
    </row>
    <row r="10" spans="1:8" x14ac:dyDescent="0.25">
      <c r="A10" s="45"/>
      <c r="B10" s="46"/>
      <c r="C10" s="46"/>
      <c r="D10" s="46"/>
      <c r="E10" s="46"/>
      <c r="F10" s="46"/>
      <c r="G10" s="51"/>
      <c r="H10" s="47"/>
    </row>
    <row r="11" spans="1:8" x14ac:dyDescent="0.25">
      <c r="A11" s="45"/>
      <c r="B11" s="52" t="s">
        <v>169</v>
      </c>
      <c r="C11" s="53">
        <f>C7*C8*C9*G11</f>
        <v>107.18835750000001</v>
      </c>
      <c r="D11" s="52" t="s">
        <v>170</v>
      </c>
      <c r="E11" s="46"/>
      <c r="F11" s="46" t="s">
        <v>171</v>
      </c>
      <c r="G11" s="54">
        <f>(G7*0.41667+G8*0.24+G9*0.264)/100</f>
        <v>0.41667000000000004</v>
      </c>
      <c r="H11" s="47" t="s">
        <v>172</v>
      </c>
    </row>
    <row r="12" spans="1:8" x14ac:dyDescent="0.25">
      <c r="A12" s="45"/>
      <c r="B12" s="46"/>
      <c r="C12" s="46"/>
      <c r="D12" s="46"/>
      <c r="E12" s="46"/>
      <c r="F12" s="46"/>
      <c r="G12" s="55"/>
      <c r="H12" s="47"/>
    </row>
    <row r="13" spans="1:8" ht="15.75" x14ac:dyDescent="0.25">
      <c r="A13" s="45"/>
      <c r="B13" s="49" t="s">
        <v>173</v>
      </c>
      <c r="C13" s="46"/>
      <c r="D13" s="46"/>
      <c r="E13" s="46"/>
      <c r="F13" s="46"/>
      <c r="G13" s="46"/>
      <c r="H13" s="47"/>
    </row>
    <row r="14" spans="1:8" x14ac:dyDescent="0.25">
      <c r="A14" s="45"/>
      <c r="B14" s="46"/>
      <c r="C14" s="46"/>
      <c r="D14" s="46"/>
      <c r="E14" s="46"/>
      <c r="F14" s="46"/>
      <c r="G14" s="46"/>
      <c r="H14" s="47"/>
    </row>
    <row r="15" spans="1:8" x14ac:dyDescent="0.25">
      <c r="A15" s="45"/>
      <c r="B15" s="46" t="s">
        <v>174</v>
      </c>
      <c r="C15" s="42">
        <v>0</v>
      </c>
      <c r="D15" s="46" t="s">
        <v>162</v>
      </c>
      <c r="E15" s="46"/>
      <c r="F15" s="46"/>
      <c r="G15" s="46"/>
      <c r="H15" s="47"/>
    </row>
    <row r="16" spans="1:8" x14ac:dyDescent="0.25">
      <c r="A16" s="45"/>
      <c r="B16" s="46" t="s">
        <v>167</v>
      </c>
      <c r="C16" s="44">
        <v>0</v>
      </c>
      <c r="D16" s="46" t="s">
        <v>162</v>
      </c>
      <c r="E16" s="46"/>
      <c r="F16" s="46"/>
      <c r="G16" s="56"/>
      <c r="H16" s="47"/>
    </row>
    <row r="17" spans="1:8" x14ac:dyDescent="0.25">
      <c r="A17" s="45"/>
      <c r="B17" s="46"/>
      <c r="C17" s="46"/>
      <c r="D17" s="46"/>
      <c r="E17" s="46"/>
      <c r="F17" s="46"/>
      <c r="G17" s="51"/>
      <c r="H17" s="47"/>
    </row>
    <row r="18" spans="1:8" x14ac:dyDescent="0.25">
      <c r="A18" s="45"/>
      <c r="B18" s="52" t="s">
        <v>169</v>
      </c>
      <c r="C18" s="53">
        <f>PI()/4*(C15^2)*C16*G11</f>
        <v>0</v>
      </c>
      <c r="D18" s="52" t="s">
        <v>170</v>
      </c>
      <c r="E18" s="46"/>
      <c r="F18" s="46"/>
      <c r="G18" s="51"/>
      <c r="H18" s="47"/>
    </row>
    <row r="19" spans="1:8" x14ac:dyDescent="0.25">
      <c r="A19" s="45"/>
      <c r="B19" s="46"/>
      <c r="C19" s="46"/>
      <c r="D19" s="46"/>
      <c r="E19" s="46"/>
      <c r="F19" s="46"/>
      <c r="G19" s="46"/>
      <c r="H19" s="47"/>
    </row>
    <row r="20" spans="1:8" ht="15.75" x14ac:dyDescent="0.25">
      <c r="A20" s="45"/>
      <c r="B20" s="49" t="s">
        <v>175</v>
      </c>
      <c r="C20" s="46"/>
      <c r="D20" s="46"/>
      <c r="E20" s="46"/>
      <c r="F20" s="46"/>
      <c r="G20" s="55"/>
      <c r="H20" s="47"/>
    </row>
    <row r="21" spans="1:8" x14ac:dyDescent="0.25">
      <c r="A21" s="45"/>
      <c r="B21" s="46"/>
      <c r="C21" s="46"/>
      <c r="D21" s="46"/>
      <c r="E21" s="46"/>
      <c r="F21" s="46"/>
      <c r="G21" s="46"/>
      <c r="H21" s="47"/>
    </row>
    <row r="22" spans="1:8" x14ac:dyDescent="0.25">
      <c r="A22" s="45"/>
      <c r="B22" s="46" t="s">
        <v>176</v>
      </c>
      <c r="C22" s="42">
        <v>0</v>
      </c>
      <c r="D22" s="46" t="s">
        <v>162</v>
      </c>
      <c r="E22" s="46"/>
      <c r="F22" s="46"/>
      <c r="G22" s="46"/>
      <c r="H22" s="47"/>
    </row>
    <row r="23" spans="1:8" x14ac:dyDescent="0.25">
      <c r="A23" s="45"/>
      <c r="B23" s="46" t="s">
        <v>177</v>
      </c>
      <c r="C23" s="44">
        <v>0</v>
      </c>
      <c r="D23" s="46" t="s">
        <v>162</v>
      </c>
      <c r="E23" s="46"/>
      <c r="F23" s="46"/>
      <c r="G23" s="46"/>
      <c r="H23" s="47"/>
    </row>
    <row r="24" spans="1:8" x14ac:dyDescent="0.25">
      <c r="A24" s="45"/>
      <c r="B24" s="46" t="s">
        <v>165</v>
      </c>
      <c r="C24" s="44">
        <v>0</v>
      </c>
      <c r="D24" s="46" t="s">
        <v>162</v>
      </c>
      <c r="E24" s="46"/>
      <c r="F24" s="46"/>
      <c r="G24" s="56"/>
      <c r="H24" s="47"/>
    </row>
    <row r="25" spans="1:8" x14ac:dyDescent="0.25">
      <c r="A25" s="45"/>
      <c r="B25" s="46"/>
      <c r="C25" s="46"/>
      <c r="D25" s="46"/>
      <c r="E25" s="46"/>
      <c r="F25" s="46"/>
      <c r="G25" s="51"/>
      <c r="H25" s="47"/>
    </row>
    <row r="26" spans="1:8" x14ac:dyDescent="0.25">
      <c r="A26" s="45"/>
      <c r="B26" s="52" t="s">
        <v>169</v>
      </c>
      <c r="C26" s="53">
        <f>PI()/4*((C22+2*C23)^2-C22^2)*C24*G11</f>
        <v>0</v>
      </c>
      <c r="D26" s="52" t="s">
        <v>170</v>
      </c>
      <c r="E26" s="46"/>
      <c r="F26" s="46"/>
      <c r="G26" s="51"/>
      <c r="H26" s="47"/>
    </row>
    <row r="27" spans="1:8" x14ac:dyDescent="0.25">
      <c r="A27" s="45"/>
      <c r="B27" s="46"/>
      <c r="C27" s="46"/>
      <c r="D27" s="46"/>
      <c r="E27" s="46"/>
      <c r="F27" s="46"/>
      <c r="G27" s="51"/>
      <c r="H27" s="47"/>
    </row>
    <row r="28" spans="1:8" ht="15.75" thickBot="1" x14ac:dyDescent="0.3">
      <c r="A28" s="57"/>
      <c r="B28" s="58"/>
      <c r="C28" s="58"/>
      <c r="D28" s="58"/>
      <c r="E28" s="58"/>
      <c r="F28" s="58"/>
      <c r="G28" s="58"/>
      <c r="H28" s="59"/>
    </row>
    <row r="29" spans="1:8" ht="15.75" thickTop="1" x14ac:dyDescent="0.25"/>
  </sheetData>
  <sheetProtection sheet="1" objects="1" scenarios="1" selectLockedCells="1"/>
  <mergeCells count="1">
    <mergeCell ref="A1:H1"/>
  </mergeCells>
  <pageMargins left="0.7" right="0.7" top="0.75" bottom="0.75" header="0.3" footer="0.3"/>
  <pageSetup orientation="portrait" horizontalDpi="4294967294" verticalDpi="429496729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G30"/>
  <sheetViews>
    <sheetView workbookViewId="0">
      <selection activeCell="L25" sqref="L25"/>
    </sheetView>
  </sheetViews>
  <sheetFormatPr defaultRowHeight="15" x14ac:dyDescent="0.25"/>
  <cols>
    <col min="1" max="1" width="16.140625" customWidth="1"/>
    <col min="6" max="6" width="12.28515625" bestFit="1" customWidth="1"/>
  </cols>
  <sheetData>
    <row r="1" spans="1:7" ht="17.25" x14ac:dyDescent="0.25">
      <c r="A1" t="s">
        <v>178</v>
      </c>
      <c r="F1" s="2" t="s">
        <v>156</v>
      </c>
      <c r="G1" s="2" t="s">
        <v>181</v>
      </c>
    </row>
    <row r="2" spans="1:7" x14ac:dyDescent="0.25">
      <c r="A2" t="s">
        <v>180</v>
      </c>
      <c r="F2" t="s">
        <v>180</v>
      </c>
      <c r="G2" s="2">
        <v>0.28399999999999997</v>
      </c>
    </row>
    <row r="3" spans="1:7" x14ac:dyDescent="0.25">
      <c r="G3" s="2"/>
    </row>
    <row r="4" spans="1:7" x14ac:dyDescent="0.25">
      <c r="A4" t="s">
        <v>30</v>
      </c>
      <c r="B4">
        <v>5</v>
      </c>
      <c r="C4" t="s">
        <v>162</v>
      </c>
    </row>
    <row r="5" spans="1:7" x14ac:dyDescent="0.25">
      <c r="A5" t="s">
        <v>30</v>
      </c>
      <c r="B5">
        <v>5</v>
      </c>
      <c r="C5" t="s">
        <v>162</v>
      </c>
    </row>
    <row r="6" spans="1:7" x14ac:dyDescent="0.25">
      <c r="A6" t="s">
        <v>32</v>
      </c>
      <c r="B6">
        <v>0.5</v>
      </c>
      <c r="C6" t="s">
        <v>162</v>
      </c>
    </row>
    <row r="7" spans="1:7" x14ac:dyDescent="0.25">
      <c r="A7" t="s">
        <v>31</v>
      </c>
      <c r="B7">
        <v>12</v>
      </c>
      <c r="C7" t="s">
        <v>162</v>
      </c>
    </row>
    <row r="9" spans="1:7" x14ac:dyDescent="0.25">
      <c r="A9" t="s">
        <v>179</v>
      </c>
      <c r="B9" s="60">
        <f>VLOOKUP($A$2,$F$2:$G$10012,2,FALSE)*((B4-B6)+B5)*B7*B6</f>
        <v>16.187999999999999</v>
      </c>
      <c r="C9" t="s">
        <v>182</v>
      </c>
    </row>
    <row r="12" spans="1:7" x14ac:dyDescent="0.25">
      <c r="A12" t="s">
        <v>185</v>
      </c>
    </row>
    <row r="13" spans="1:7" x14ac:dyDescent="0.25">
      <c r="A13" t="s">
        <v>180</v>
      </c>
    </row>
    <row r="15" spans="1:7" x14ac:dyDescent="0.25">
      <c r="A15" t="s">
        <v>186</v>
      </c>
      <c r="B15">
        <v>10</v>
      </c>
      <c r="C15" t="s">
        <v>162</v>
      </c>
    </row>
    <row r="16" spans="1:7" x14ac:dyDescent="0.25">
      <c r="A16" t="s">
        <v>187</v>
      </c>
      <c r="B16">
        <v>10</v>
      </c>
      <c r="C16" t="s">
        <v>162</v>
      </c>
    </row>
    <row r="17" spans="1:3" x14ac:dyDescent="0.25">
      <c r="A17" t="s">
        <v>184</v>
      </c>
      <c r="B17">
        <v>0.25</v>
      </c>
      <c r="C17" t="s">
        <v>162</v>
      </c>
    </row>
    <row r="18" spans="1:3" x14ac:dyDescent="0.25">
      <c r="A18" t="s">
        <v>31</v>
      </c>
      <c r="B18">
        <v>12</v>
      </c>
      <c r="C18" t="s">
        <v>162</v>
      </c>
    </row>
    <row r="20" spans="1:3" x14ac:dyDescent="0.25">
      <c r="A20" t="s">
        <v>179</v>
      </c>
      <c r="B20">
        <f>VLOOKUP($A$13,$F$2:$G$10012,2,FALSE)*((B15*2+B16*2)-B17*4)*B17*B18</f>
        <v>33.227999999999994</v>
      </c>
      <c r="C20" t="s">
        <v>182</v>
      </c>
    </row>
    <row r="23" spans="1:3" x14ac:dyDescent="0.25">
      <c r="A23" t="s">
        <v>183</v>
      </c>
    </row>
    <row r="24" spans="1:3" x14ac:dyDescent="0.25">
      <c r="A24" t="s">
        <v>180</v>
      </c>
    </row>
    <row r="26" spans="1:3" x14ac:dyDescent="0.25">
      <c r="A26" t="s">
        <v>30</v>
      </c>
      <c r="B26">
        <v>2</v>
      </c>
      <c r="C26" t="s">
        <v>162</v>
      </c>
    </row>
    <row r="27" spans="1:3" x14ac:dyDescent="0.25">
      <c r="A27" t="s">
        <v>184</v>
      </c>
      <c r="B27">
        <v>0.25</v>
      </c>
      <c r="C27" t="s">
        <v>162</v>
      </c>
    </row>
    <row r="28" spans="1:3" x14ac:dyDescent="0.25">
      <c r="A28" t="s">
        <v>31</v>
      </c>
      <c r="B28">
        <v>12</v>
      </c>
      <c r="C28" t="s">
        <v>162</v>
      </c>
    </row>
    <row r="30" spans="1:3" x14ac:dyDescent="0.25">
      <c r="A30" t="s">
        <v>179</v>
      </c>
      <c r="B30">
        <f>VLOOKUP($A$24,$F$2:$G$10012,2,FALSE)*(B26*4-B27*4)*B27*B28</f>
        <v>5.9639999999999995</v>
      </c>
      <c r="C30" t="s">
        <v>182</v>
      </c>
    </row>
  </sheetData>
  <dataValidations count="1">
    <dataValidation type="list" allowBlank="1" showInputMessage="1" showErrorMessage="1" sqref="A2 A13 A24" xr:uid="{00000000-0002-0000-0600-000000000000}">
      <formula1>$F$2:$F$39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R23"/>
  <sheetViews>
    <sheetView zoomScaleNormal="100" workbookViewId="0">
      <selection activeCell="D7" sqref="D7"/>
    </sheetView>
  </sheetViews>
  <sheetFormatPr defaultColWidth="9.140625" defaultRowHeight="12.75" x14ac:dyDescent="0.2"/>
  <cols>
    <col min="1" max="1" width="7.140625" style="10" bestFit="1" customWidth="1"/>
    <col min="2" max="2" width="7.42578125" style="10" customWidth="1"/>
    <col min="3" max="3" width="37.85546875" style="10" customWidth="1"/>
    <col min="4" max="4" width="38" style="10" bestFit="1" customWidth="1"/>
    <col min="5" max="5" width="8.42578125" style="10" bestFit="1" customWidth="1"/>
    <col min="6" max="6" width="8" style="10" bestFit="1" customWidth="1"/>
    <col min="7" max="7" width="10.42578125" style="10" bestFit="1" customWidth="1"/>
    <col min="8" max="8" width="9.140625" style="10" customWidth="1"/>
    <col min="9" max="9" width="9.28515625" style="10" bestFit="1" customWidth="1"/>
    <col min="10" max="10" width="12.7109375" style="10" customWidth="1"/>
    <col min="11" max="11" width="14.85546875" style="10" bestFit="1" customWidth="1"/>
    <col min="12" max="12" width="9.7109375" style="10" bestFit="1" customWidth="1"/>
    <col min="13" max="13" width="12.28515625" style="10" bestFit="1" customWidth="1"/>
    <col min="14" max="14" width="11.7109375" style="10" customWidth="1"/>
    <col min="15" max="15" width="8.42578125" style="10" bestFit="1" customWidth="1"/>
    <col min="16" max="16" width="14.28515625" style="10" bestFit="1" customWidth="1"/>
    <col min="17" max="17" width="14" style="10" bestFit="1" customWidth="1"/>
    <col min="18" max="18" width="11.5703125" style="10" customWidth="1"/>
    <col min="19" max="19" width="9.140625" style="10"/>
    <col min="20" max="20" width="15.42578125" style="10" bestFit="1" customWidth="1"/>
    <col min="21" max="23" width="9.140625" style="10"/>
    <col min="24" max="24" width="13.42578125" style="10" bestFit="1" customWidth="1"/>
    <col min="25" max="16384" width="9.140625" style="10"/>
  </cols>
  <sheetData>
    <row r="1" spans="1:18" ht="25.5" x14ac:dyDescent="0.2">
      <c r="A1" s="11"/>
      <c r="B1" s="11"/>
      <c r="C1" s="12" t="s">
        <v>20</v>
      </c>
      <c r="D1" s="24">
        <v>0</v>
      </c>
      <c r="E1" s="11"/>
      <c r="F1" s="11"/>
      <c r="G1" s="11"/>
      <c r="H1" s="11"/>
      <c r="I1" s="11"/>
      <c r="J1" s="11"/>
      <c r="K1" s="3" t="s">
        <v>15</v>
      </c>
      <c r="L1" s="3" t="s">
        <v>8</v>
      </c>
      <c r="M1" s="3" t="s">
        <v>5</v>
      </c>
      <c r="N1" s="3" t="s">
        <v>11</v>
      </c>
      <c r="O1" s="3" t="s">
        <v>135</v>
      </c>
      <c r="P1" s="1" t="s">
        <v>1</v>
      </c>
      <c r="Q1" s="3" t="s">
        <v>136</v>
      </c>
      <c r="R1" s="11"/>
    </row>
    <row r="2" spans="1:18" x14ac:dyDescent="0.2">
      <c r="A2" s="11"/>
      <c r="B2" s="11"/>
      <c r="C2" s="12" t="s">
        <v>188</v>
      </c>
      <c r="D2" s="35">
        <v>0</v>
      </c>
      <c r="E2" s="11"/>
      <c r="F2" s="11"/>
      <c r="G2" s="11"/>
      <c r="H2" s="11"/>
      <c r="I2" s="11"/>
      <c r="J2" s="11"/>
      <c r="K2" s="13" t="e">
        <f>SUM(K4:K10003)</f>
        <v>#N/A</v>
      </c>
      <c r="L2" s="27" t="e">
        <f>M2/K2</f>
        <v>#N/A</v>
      </c>
      <c r="M2" s="13" t="e">
        <f>Q2-N2-K2-P2</f>
        <v>#N/A</v>
      </c>
      <c r="N2" s="13" t="e">
        <f>SUM(N4:N10003)</f>
        <v>#N/A</v>
      </c>
      <c r="O2" s="27" t="e">
        <f>((Q2-P2)-K2)/K2</f>
        <v>#N/A</v>
      </c>
      <c r="P2" s="13">
        <f>SUM(P4:P10003)</f>
        <v>0</v>
      </c>
      <c r="Q2" s="13" t="e">
        <f>SUM(Q4:Q10003)</f>
        <v>#N/A</v>
      </c>
      <c r="R2" s="11"/>
    </row>
    <row r="3" spans="1:18" x14ac:dyDescent="0.2">
      <c r="A3" s="11"/>
      <c r="B3" s="11"/>
      <c r="C3" s="12" t="s">
        <v>189</v>
      </c>
      <c r="D3" s="35">
        <v>0.2</v>
      </c>
      <c r="E3" s="11"/>
      <c r="F3" s="11"/>
      <c r="G3" s="11"/>
      <c r="H3" s="11"/>
      <c r="I3" s="11"/>
      <c r="J3" s="11"/>
      <c r="K3" s="13"/>
      <c r="L3" s="27"/>
      <c r="M3" s="13"/>
      <c r="N3" s="13"/>
      <c r="O3" s="27"/>
      <c r="P3" s="13"/>
      <c r="Q3" s="13"/>
      <c r="R3" s="11"/>
    </row>
    <row r="4" spans="1:18" x14ac:dyDescent="0.2">
      <c r="A4" s="11"/>
      <c r="B4" s="11"/>
      <c r="C4" s="12" t="s">
        <v>12</v>
      </c>
      <c r="D4" s="25">
        <v>1.1000000000000001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18" x14ac:dyDescent="0.2">
      <c r="A5" s="11"/>
      <c r="B5" s="11"/>
      <c r="C5" s="12" t="s">
        <v>13</v>
      </c>
      <c r="D5" s="26">
        <v>1.45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18" x14ac:dyDescent="0.2">
      <c r="A6" s="11"/>
      <c r="B6" s="11"/>
      <c r="C6" s="12" t="s">
        <v>137</v>
      </c>
      <c r="D6" s="65">
        <v>0.55000000000000004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34"/>
      <c r="P6" s="11"/>
      <c r="Q6" s="11"/>
      <c r="R6" s="11"/>
    </row>
    <row r="7" spans="1:18" x14ac:dyDescent="0.2">
      <c r="A7" s="11"/>
      <c r="B7" s="11"/>
      <c r="C7" s="12" t="s">
        <v>138</v>
      </c>
      <c r="D7" s="65">
        <v>700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</row>
    <row r="8" spans="1:18" x14ac:dyDescent="0.2">
      <c r="A8" s="11"/>
      <c r="B8" s="11"/>
      <c r="C8" s="12" t="s">
        <v>139</v>
      </c>
      <c r="D8" s="65">
        <v>300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</row>
    <row r="9" spans="1:18" x14ac:dyDescent="0.2">
      <c r="A9" s="11"/>
      <c r="B9" s="11"/>
      <c r="C9" s="12"/>
      <c r="D9" s="1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</row>
    <row r="10" spans="1:18" x14ac:dyDescent="0.2">
      <c r="A10" s="11"/>
      <c r="B10" s="11"/>
      <c r="C10" s="12"/>
      <c r="D10" s="1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</row>
    <row r="11" spans="1:18" ht="32.25" customHeight="1" x14ac:dyDescent="0.2">
      <c r="A11" s="11"/>
      <c r="B11" s="11"/>
      <c r="C11" s="64" t="s">
        <v>155</v>
      </c>
      <c r="D11" s="37"/>
      <c r="E11" s="27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</row>
    <row r="12" spans="1:18" x14ac:dyDescent="0.2">
      <c r="A12" s="38"/>
      <c r="B12" s="38"/>
      <c r="C12" s="39"/>
      <c r="D12" s="40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</row>
    <row r="13" spans="1:18" x14ac:dyDescent="0.2">
      <c r="A13" s="71"/>
      <c r="B13" s="71"/>
      <c r="C13" s="72"/>
      <c r="D13" s="73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</row>
    <row r="14" spans="1:18" ht="15.75" x14ac:dyDescent="0.25">
      <c r="A14" s="74">
        <v>1</v>
      </c>
      <c r="B14" s="74" t="s">
        <v>0</v>
      </c>
      <c r="C14" s="75" t="s">
        <v>35</v>
      </c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</row>
    <row r="15" spans="1:18" ht="38.25" x14ac:dyDescent="0.2">
      <c r="A15" s="1" t="s">
        <v>7</v>
      </c>
      <c r="B15" s="1" t="s">
        <v>3</v>
      </c>
      <c r="C15" s="1" t="s">
        <v>10</v>
      </c>
      <c r="D15" s="1" t="s">
        <v>4</v>
      </c>
      <c r="E15" s="3" t="s">
        <v>21</v>
      </c>
      <c r="F15" s="3" t="s">
        <v>26</v>
      </c>
      <c r="G15" s="3" t="s">
        <v>27</v>
      </c>
      <c r="H15" s="3" t="s">
        <v>145</v>
      </c>
      <c r="I15" s="3" t="s">
        <v>23</v>
      </c>
      <c r="J15" s="3" t="s">
        <v>146</v>
      </c>
      <c r="K15" s="3" t="s">
        <v>15</v>
      </c>
      <c r="L15" s="3" t="s">
        <v>8</v>
      </c>
      <c r="M15" s="3" t="s">
        <v>5</v>
      </c>
      <c r="N15" s="3" t="s">
        <v>11</v>
      </c>
      <c r="O15" s="3" t="s">
        <v>2</v>
      </c>
      <c r="P15" s="1" t="s">
        <v>1</v>
      </c>
      <c r="Q15" s="3" t="s">
        <v>6</v>
      </c>
      <c r="R15" s="3" t="s">
        <v>18</v>
      </c>
    </row>
    <row r="16" spans="1:18" ht="17.25" customHeight="1" x14ac:dyDescent="0.2">
      <c r="A16" s="6"/>
      <c r="B16" s="7" t="e">
        <f>VLOOKUP($C16,Items!$A$2:$AE$10014,5,FALSE)</f>
        <v>#N/A</v>
      </c>
      <c r="C16" s="41"/>
      <c r="D16" s="6" t="e">
        <f>VLOOKUP($C16,Items!$A$2:$AE$10014,2,FALSE)</f>
        <v>#N/A</v>
      </c>
      <c r="E16" s="28" t="e">
        <f>VLOOKUP($C16,Items!$A$2:$AE$10014,6,FALSE)</f>
        <v>#N/A</v>
      </c>
      <c r="F16" s="28" t="e">
        <f>VLOOKUP($C16,Items!$A$2:$AE$10014,7,FALSE)</f>
        <v>#N/A</v>
      </c>
      <c r="G16" s="28" t="e">
        <f>VLOOKUP($C16,Items!$A$2:$AE$10014,8,FALSE)</f>
        <v>#N/A</v>
      </c>
      <c r="H16" s="28" t="e">
        <f>IF(E16=0,+VLOOKUP($C16,Items!$A$2:$AE$10014,9,FALSE),+VLOOKUP($C16,Items!$A$2:$AE$10014,9,FALSE)*E16*F16*G16)</f>
        <v>#N/A</v>
      </c>
      <c r="I16" s="29" t="e">
        <f>IF(E16=0,+VLOOKUP($C16,Items!$A$2:$AE$10014,10,FALSE)*A16,(A16*H16))</f>
        <v>#N/A</v>
      </c>
      <c r="J16" s="8" t="e">
        <f>IF(E16=0,+VLOOKUP($C16,Items!$A$2:$AE$10014,3,FALSE),+VLOOKUP($C16,Items!$A$2:$AE$10014,3,FALSE)*H16)</f>
        <v>#N/A</v>
      </c>
      <c r="K16" s="16" t="e">
        <f>ROUNDUP(A16*J16,0)</f>
        <v>#N/A</v>
      </c>
      <c r="L16" s="62" t="e">
        <f>IF(R16="Labor",$D$2,$D$3)</f>
        <v>#N/A</v>
      </c>
      <c r="M16" s="16" t="e">
        <f>ROUNDUP(K16*L16,0)</f>
        <v>#N/A</v>
      </c>
      <c r="N16" s="17" t="e">
        <f>ROUNDUP(VLOOKUP($C16,Items!$A$2:$AE$10014,4,FALSE)*A16,0)</f>
        <v>#N/A</v>
      </c>
      <c r="O16" s="9">
        <v>0</v>
      </c>
      <c r="P16" s="18">
        <f>ROUNDUP(IF(O16=1,(K16+M16)*($D$1),0),0)</f>
        <v>0</v>
      </c>
      <c r="Q16" s="16" t="e">
        <f>ROUNDUP(K16+M16+N16+P16,0)</f>
        <v>#N/A</v>
      </c>
      <c r="R16" s="63" t="e">
        <f>VLOOKUP($C16,Items!$A$2:$AE$10014,11,FALSE)</f>
        <v>#N/A</v>
      </c>
    </row>
    <row r="17" spans="1:18" ht="24.75" customHeight="1" x14ac:dyDescent="0.2">
      <c r="A17" s="69" t="s">
        <v>133</v>
      </c>
      <c r="B17" s="19"/>
      <c r="C17" s="19"/>
      <c r="D17" s="19"/>
      <c r="E17" s="19"/>
      <c r="F17" s="19"/>
      <c r="G17" s="19"/>
      <c r="H17" s="19"/>
      <c r="I17" s="19"/>
      <c r="J17" s="20"/>
      <c r="K17" s="21"/>
      <c r="L17" s="21"/>
      <c r="M17" s="21"/>
      <c r="N17" s="21"/>
      <c r="O17" s="19"/>
      <c r="P17" s="19"/>
      <c r="Q17" s="19"/>
      <c r="R17" s="19"/>
    </row>
    <row r="18" spans="1:18" ht="51" customHeight="1" x14ac:dyDescent="0.2">
      <c r="A18" s="66"/>
      <c r="J18" s="67"/>
      <c r="K18" s="68"/>
      <c r="L18" s="68"/>
      <c r="M18" s="68"/>
      <c r="N18" s="68"/>
    </row>
    <row r="19" spans="1:18" ht="48.75" customHeight="1" x14ac:dyDescent="0.2">
      <c r="A19" s="66"/>
      <c r="J19" s="67"/>
      <c r="K19" s="68"/>
      <c r="L19" s="68"/>
      <c r="M19" s="68"/>
      <c r="N19" s="68"/>
    </row>
    <row r="20" spans="1:18" ht="50.25" customHeight="1" x14ac:dyDescent="0.2"/>
    <row r="22" spans="1:18" ht="32.25" customHeight="1" x14ac:dyDescent="0.2"/>
    <row r="23" spans="1:18" ht="15" x14ac:dyDescent="0.25">
      <c r="C23" s="70" t="s">
        <v>190</v>
      </c>
    </row>
  </sheetData>
  <sheetProtection selectLockedCells="1"/>
  <conditionalFormatting sqref="E16:G16 R16">
    <cfRule type="cellIs" dxfId="149" priority="4" operator="lessThanOrEqual">
      <formula>0.0001</formula>
    </cfRule>
  </conditionalFormatting>
  <conditionalFormatting sqref="B16">
    <cfRule type="cellIs" dxfId="148" priority="3" operator="equal">
      <formula>0</formula>
    </cfRule>
  </conditionalFormatting>
  <conditionalFormatting sqref="D16">
    <cfRule type="cellIs" dxfId="147" priority="2" operator="equal">
      <formula>0</formula>
    </cfRule>
  </conditionalFormatting>
  <conditionalFormatting sqref="H16:I16">
    <cfRule type="cellIs" dxfId="146" priority="1" operator="equal">
      <formula>$E16</formula>
    </cfRule>
  </conditionalFormatting>
  <pageMargins left="0.7" right="0.7" top="0.75" bottom="0.75" header="0.3" footer="0.3"/>
  <pageSetup scale="67" orientation="portrait" verticalDpi="598" r:id="rId1"/>
  <colBreaks count="1" manualBreakCount="1">
    <brk id="18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0000000}">
          <x14:formula1>
            <xm:f>Items!$A$2:$A$100014</xm:f>
          </x14:formula1>
          <xm:sqref>C16</xm:sqref>
        </x14:dataValidation>
        <x14:dataValidation type="list" allowBlank="1" showInputMessage="1" showErrorMessage="1" xr:uid="{00000000-0002-0000-0700-000001000000}">
          <x14:formula1>
            <xm:f>GroupItemsList!A:A</xm:f>
          </x14:formula1>
          <xm:sqref>C11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ER44"/>
  <sheetViews>
    <sheetView workbookViewId="0">
      <selection activeCell="K15" sqref="K15:K24"/>
    </sheetView>
  </sheetViews>
  <sheetFormatPr defaultRowHeight="15" x14ac:dyDescent="0.25"/>
  <cols>
    <col min="1" max="1" width="7" bestFit="1" customWidth="1"/>
    <col min="2" max="2" width="5.140625" bestFit="1" customWidth="1"/>
    <col min="3" max="3" width="57.42578125" bestFit="1" customWidth="1"/>
    <col min="4" max="4" width="28.42578125" customWidth="1"/>
    <col min="5" max="6" width="8" bestFit="1" customWidth="1"/>
    <col min="7" max="7" width="9.7109375" customWidth="1"/>
    <col min="8" max="8" width="8.28515625" bestFit="1" customWidth="1"/>
    <col min="9" max="9" width="7.42578125" bestFit="1" customWidth="1"/>
    <col min="10" max="10" width="8.7109375" bestFit="1" customWidth="1"/>
    <col min="11" max="11" width="10.28515625" bestFit="1" customWidth="1"/>
    <col min="12" max="13" width="7.7109375" bestFit="1" customWidth="1"/>
    <col min="14" max="14" width="7.5703125" bestFit="1" customWidth="1"/>
    <col min="15" max="15" width="8.42578125" bestFit="1" customWidth="1"/>
    <col min="16" max="16" width="12" bestFit="1" customWidth="1"/>
    <col min="17" max="17" width="10.28515625" bestFit="1" customWidth="1"/>
    <col min="18" max="18" width="7.5703125" bestFit="1" customWidth="1"/>
  </cols>
  <sheetData>
    <row r="1" spans="1:148" x14ac:dyDescent="0.25"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2"/>
      <c r="DL1" s="22"/>
      <c r="DM1" s="22"/>
      <c r="DN1" s="22"/>
      <c r="DO1" s="22"/>
      <c r="DP1" s="22"/>
      <c r="DQ1" s="22"/>
      <c r="DR1" s="22"/>
      <c r="DS1" s="22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2"/>
      <c r="ER1" s="22"/>
    </row>
    <row r="2" spans="1:148" x14ac:dyDescent="0.25"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2"/>
      <c r="CL2" s="22"/>
      <c r="CM2" s="22"/>
      <c r="CN2" s="22"/>
      <c r="CO2" s="22"/>
      <c r="CP2" s="22"/>
      <c r="CQ2" s="22"/>
      <c r="CR2" s="22"/>
      <c r="CS2" s="22"/>
      <c r="CT2" s="22"/>
      <c r="CU2" s="22"/>
      <c r="CV2" s="22"/>
      <c r="CW2" s="22"/>
      <c r="CX2" s="22"/>
      <c r="CY2" s="22"/>
      <c r="CZ2" s="22"/>
      <c r="DA2" s="22"/>
      <c r="DB2" s="22"/>
      <c r="DC2" s="22"/>
      <c r="DD2" s="22"/>
      <c r="DE2" s="22"/>
      <c r="DF2" s="22"/>
      <c r="DG2" s="22"/>
      <c r="DH2" s="22"/>
      <c r="DI2" s="22"/>
      <c r="DJ2" s="22"/>
      <c r="DK2" s="22"/>
      <c r="DL2" s="22"/>
      <c r="DM2" s="22"/>
      <c r="DN2" s="22"/>
      <c r="DO2" s="22"/>
      <c r="DP2" s="22"/>
      <c r="DQ2" s="22"/>
      <c r="DR2" s="22"/>
      <c r="DS2" s="22"/>
      <c r="DT2" s="22"/>
      <c r="DU2" s="22"/>
      <c r="DV2" s="22"/>
      <c r="DW2" s="22"/>
      <c r="DX2" s="22"/>
      <c r="DY2" s="22"/>
      <c r="DZ2" s="22"/>
      <c r="EA2" s="22"/>
      <c r="EB2" s="22"/>
      <c r="EC2" s="22"/>
      <c r="ED2" s="22"/>
      <c r="EE2" s="22"/>
      <c r="EF2" s="22"/>
      <c r="EG2" s="22"/>
      <c r="EH2" s="22"/>
      <c r="EI2" s="22"/>
      <c r="EJ2" s="22"/>
      <c r="EK2" s="22"/>
      <c r="EL2" s="22"/>
      <c r="EM2" s="22"/>
      <c r="EN2" s="22"/>
      <c r="EO2" s="22"/>
      <c r="EP2" s="22"/>
      <c r="EQ2" s="22"/>
      <c r="ER2" s="22"/>
    </row>
    <row r="3" spans="1:148" x14ac:dyDescent="0.25"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  <c r="CZ3" s="22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2"/>
      <c r="EF3" s="22"/>
      <c r="EG3" s="22"/>
      <c r="EH3" s="22"/>
      <c r="EI3" s="22"/>
      <c r="EJ3" s="22"/>
      <c r="EK3" s="22"/>
      <c r="EL3" s="22"/>
      <c r="EM3" s="22"/>
      <c r="EN3" s="22"/>
      <c r="EO3" s="22"/>
      <c r="EP3" s="22"/>
      <c r="EQ3" s="22"/>
      <c r="ER3" s="22"/>
    </row>
    <row r="4" spans="1:148" ht="15.75" x14ac:dyDescent="0.25">
      <c r="A4" s="74">
        <v>1</v>
      </c>
      <c r="B4" s="74" t="s">
        <v>0</v>
      </c>
      <c r="C4" s="75" t="s">
        <v>251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  <c r="DW4" s="22"/>
      <c r="DX4" s="22"/>
      <c r="DY4" s="22"/>
      <c r="DZ4" s="22"/>
      <c r="EA4" s="22"/>
      <c r="EB4" s="22"/>
      <c r="EC4" s="22"/>
      <c r="ED4" s="22"/>
      <c r="EE4" s="22"/>
      <c r="EF4" s="22"/>
      <c r="EG4" s="22"/>
      <c r="EH4" s="22"/>
      <c r="EI4" s="22"/>
      <c r="EJ4" s="22"/>
      <c r="EK4" s="22"/>
      <c r="EL4" s="22"/>
      <c r="EM4" s="22"/>
      <c r="EN4" s="22"/>
      <c r="EO4" s="22"/>
      <c r="EP4" s="22"/>
      <c r="EQ4" s="22"/>
      <c r="ER4" s="22"/>
    </row>
    <row r="5" spans="1:148" ht="39" x14ac:dyDescent="0.25">
      <c r="A5" s="1" t="s">
        <v>7</v>
      </c>
      <c r="B5" s="1" t="s">
        <v>3</v>
      </c>
      <c r="C5" s="1" t="s">
        <v>10</v>
      </c>
      <c r="D5" s="1" t="s">
        <v>4</v>
      </c>
      <c r="E5" s="3" t="s">
        <v>21</v>
      </c>
      <c r="F5" s="3" t="s">
        <v>26</v>
      </c>
      <c r="G5" s="3" t="s">
        <v>27</v>
      </c>
      <c r="H5" s="3" t="s">
        <v>145</v>
      </c>
      <c r="I5" s="3" t="s">
        <v>23</v>
      </c>
      <c r="J5" s="3" t="s">
        <v>146</v>
      </c>
      <c r="K5" s="3" t="s">
        <v>15</v>
      </c>
      <c r="L5" s="3" t="s">
        <v>8</v>
      </c>
      <c r="M5" s="3" t="s">
        <v>5</v>
      </c>
      <c r="N5" s="3" t="s">
        <v>11</v>
      </c>
      <c r="O5" s="3" t="s">
        <v>2</v>
      </c>
      <c r="P5" s="1" t="s">
        <v>1</v>
      </c>
      <c r="Q5" s="3" t="s">
        <v>6</v>
      </c>
      <c r="R5" s="3" t="s">
        <v>18</v>
      </c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  <c r="CY5" s="22"/>
      <c r="CZ5" s="22"/>
      <c r="DA5" s="22"/>
      <c r="DB5" s="22"/>
      <c r="DC5" s="22"/>
      <c r="DD5" s="22"/>
      <c r="DE5" s="22"/>
      <c r="DF5" s="22"/>
      <c r="DG5" s="22"/>
      <c r="DH5" s="22"/>
      <c r="DI5" s="22"/>
      <c r="DJ5" s="22"/>
      <c r="DK5" s="22"/>
      <c r="DL5" s="22"/>
      <c r="DM5" s="22"/>
      <c r="DN5" s="22"/>
      <c r="DO5" s="22"/>
      <c r="DP5" s="22"/>
      <c r="DQ5" s="22"/>
      <c r="DR5" s="22"/>
      <c r="DS5" s="22"/>
      <c r="DT5" s="22"/>
      <c r="DU5" s="22"/>
      <c r="DV5" s="22"/>
      <c r="DW5" s="22"/>
      <c r="DX5" s="22"/>
      <c r="DY5" s="22"/>
      <c r="DZ5" s="22"/>
      <c r="EA5" s="22"/>
      <c r="EB5" s="22"/>
      <c r="EC5" s="22"/>
      <c r="ED5" s="22"/>
      <c r="EE5" s="22"/>
      <c r="EF5" s="22"/>
      <c r="EG5" s="22"/>
      <c r="EH5" s="22"/>
      <c r="EI5" s="22"/>
      <c r="EJ5" s="22"/>
      <c r="EK5" s="22"/>
      <c r="EL5" s="22"/>
      <c r="EM5" s="22"/>
      <c r="EN5" s="22"/>
      <c r="EO5" s="22"/>
      <c r="EP5" s="22"/>
      <c r="EQ5" s="22"/>
      <c r="ER5" s="22"/>
    </row>
    <row r="6" spans="1:148" x14ac:dyDescent="0.25">
      <c r="A6" s="6">
        <f>1*A4</f>
        <v>1</v>
      </c>
      <c r="B6" s="7" t="str">
        <f>VLOOKUP($C6,Items!$A$2:$AE$10014,5,FALSE)</f>
        <v>ea</v>
      </c>
      <c r="C6" s="41" t="s">
        <v>42</v>
      </c>
      <c r="D6" s="6"/>
      <c r="E6" s="28">
        <v>49</v>
      </c>
      <c r="F6" s="28">
        <v>84</v>
      </c>
      <c r="G6" s="28">
        <v>2.0000000000000001E-4</v>
      </c>
      <c r="H6" s="28">
        <f>IF(E6=0,+VLOOKUP($C6,Items!$A$2:$AE$10014,9,FALSE),+VLOOKUP($C6,Items!$A$2:$AE$10014,9,FALSE)*E6*F6*G6)</f>
        <v>0.34300274400000003</v>
      </c>
      <c r="I6" s="29">
        <f>IF(E6=0,+VLOOKUP($C6,Items!$A$2:$AE$10014,10,FALSE)*A6,(A6*H6))</f>
        <v>0.34300274400000003</v>
      </c>
      <c r="J6" s="8">
        <f>IF(E6=0,+VLOOKUP($C6,Items!$A$2:$AE$10014,3,FALSE),+VLOOKUP($C6,Items!$A$2:$AE$10014,3,FALSE)*H6)</f>
        <v>0.60025480200000003</v>
      </c>
      <c r="K6" s="16">
        <f t="shared" ref="K6:K11" si="0">A6*J6</f>
        <v>0.60025480200000003</v>
      </c>
      <c r="L6" s="36">
        <f>IF(R6="Labor",$D$2,$D$3)</f>
        <v>0</v>
      </c>
      <c r="M6" s="16">
        <f t="shared" ref="M6:M11" si="1">K6*L6</f>
        <v>0</v>
      </c>
      <c r="N6" s="17">
        <f>VLOOKUP($C6,Items!$A$2:$AE$10014,4,FALSE)*A6</f>
        <v>0</v>
      </c>
      <c r="O6" s="9">
        <v>0</v>
      </c>
      <c r="P6" s="18">
        <f>IF(O6=1,(K6+M6)*($D$1),0)</f>
        <v>0</v>
      </c>
      <c r="Q6" s="16">
        <f t="shared" ref="Q6:Q11" si="2">ROUNDUP(K6+M6+N6+P6,0)</f>
        <v>1</v>
      </c>
      <c r="R6" s="61" t="str">
        <f>VLOOKUP($C6,Items!$A$2:$AE$10014,11,FALSE)</f>
        <v>Material</v>
      </c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 s="22"/>
      <c r="DB6" s="22"/>
      <c r="DC6" s="22"/>
      <c r="DD6" s="22"/>
      <c r="DE6" s="22"/>
      <c r="DF6" s="22"/>
      <c r="DG6" s="22"/>
      <c r="DH6" s="22"/>
      <c r="DI6" s="22"/>
      <c r="DJ6" s="22"/>
      <c r="DK6" s="22"/>
      <c r="DL6" s="22"/>
      <c r="DM6" s="22"/>
      <c r="DN6" s="22"/>
      <c r="DO6" s="22"/>
      <c r="DP6" s="22"/>
      <c r="DQ6" s="22"/>
      <c r="DR6" s="22"/>
      <c r="DS6" s="22"/>
      <c r="DT6" s="22"/>
      <c r="DU6" s="22"/>
      <c r="DV6" s="22"/>
      <c r="DW6" s="22"/>
      <c r="DX6" s="22"/>
      <c r="DY6" s="22"/>
      <c r="DZ6" s="22"/>
      <c r="EA6" s="22"/>
      <c r="EB6" s="22"/>
      <c r="EC6" s="22"/>
      <c r="ED6" s="22"/>
      <c r="EE6" s="22"/>
      <c r="EF6" s="22"/>
      <c r="EG6" s="22"/>
      <c r="EH6" s="22"/>
      <c r="EI6" s="22"/>
      <c r="EJ6" s="22"/>
      <c r="EK6" s="22"/>
      <c r="EL6" s="22"/>
      <c r="EM6" s="22"/>
      <c r="EN6" s="22"/>
      <c r="EO6" s="22"/>
      <c r="EP6" s="22"/>
      <c r="EQ6" s="22"/>
      <c r="ER6" s="22"/>
    </row>
    <row r="7" spans="1:148" x14ac:dyDescent="0.25">
      <c r="A7" s="6">
        <f>1*A4</f>
        <v>1</v>
      </c>
      <c r="B7" s="7" t="str">
        <f>VLOOKUP($C7,Items!$A$2:$AE$10014,5,FALSE)</f>
        <v>ea</v>
      </c>
      <c r="C7" s="41" t="s">
        <v>239</v>
      </c>
      <c r="D7" s="6" t="s">
        <v>237</v>
      </c>
      <c r="E7" s="28">
        <f>VLOOKUP($C7,Items!$A$2:$AE$10014,6,FALSE)</f>
        <v>48</v>
      </c>
      <c r="F7" s="28">
        <f>VLOOKUP($C7,Items!$A$2:$AE$10014,7,FALSE)</f>
        <v>96</v>
      </c>
      <c r="G7" s="28">
        <f>VLOOKUP($C7,Items!$A$2:$AE$10014,8,FALSE)</f>
        <v>0.5</v>
      </c>
      <c r="H7" s="28">
        <f>IF(E7=0,+VLOOKUP($C7,Items!$A$2:$AE$10014,9,FALSE),+VLOOKUP($C7,Items!$A$2:$AE$10014,9,FALSE)*E7*F7*G7)</f>
        <v>46.3997952</v>
      </c>
      <c r="I7" s="29">
        <f>IF(E7=0,+VLOOKUP($C7,Items!$A$2:$AE$10014,10,FALSE)*A7,(A7*H7))</f>
        <v>46.3997952</v>
      </c>
      <c r="J7" s="8">
        <f>IF(E7=0,+VLOOKUP($C7,Items!$A$2:$AE$10014,3,FALSE),+VLOOKUP($C7,Items!$A$2:$AE$10014,3,FALSE)*H7)</f>
        <v>57.999744</v>
      </c>
      <c r="K7" s="16">
        <f t="shared" si="0"/>
        <v>57.999744</v>
      </c>
      <c r="L7" s="36">
        <f t="shared" ref="L7:L11" si="3">IF(R7="Labor",$D$2,$D$3)</f>
        <v>0</v>
      </c>
      <c r="M7" s="16">
        <f t="shared" si="1"/>
        <v>0</v>
      </c>
      <c r="N7" s="17">
        <f>VLOOKUP($C7,Items!$A$2:$AE$10014,4,FALSE)*A7</f>
        <v>0</v>
      </c>
      <c r="O7" s="9">
        <v>0</v>
      </c>
      <c r="P7" s="18">
        <f t="shared" ref="P7:P11" si="4">IF(O7=1,(K7+M7)*($D$1),0)</f>
        <v>0</v>
      </c>
      <c r="Q7" s="16">
        <f t="shared" si="2"/>
        <v>58</v>
      </c>
      <c r="R7" s="61" t="str">
        <f>VLOOKUP($C7,Items!$A$2:$AE$10014,11,FALSE)</f>
        <v>Material</v>
      </c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22"/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22"/>
      <c r="EL7" s="22"/>
      <c r="EM7" s="22"/>
      <c r="EN7" s="22"/>
      <c r="EO7" s="22"/>
      <c r="EP7" s="22"/>
      <c r="EQ7" s="22"/>
      <c r="ER7" s="22"/>
    </row>
    <row r="8" spans="1:148" x14ac:dyDescent="0.25">
      <c r="A8" s="6">
        <f>0.25*A4</f>
        <v>0.25</v>
      </c>
      <c r="B8" s="7" t="str">
        <f>VLOOKUP($C8,Items!$A$2:$AE$10014,5,FALSE)</f>
        <v>mh</v>
      </c>
      <c r="C8" s="41" t="s">
        <v>46</v>
      </c>
      <c r="D8" s="6" t="s">
        <v>152</v>
      </c>
      <c r="E8" s="28">
        <f>VLOOKUP($C8,Items!$A$2:$AE$10014,6,FALSE)</f>
        <v>0</v>
      </c>
      <c r="F8" s="28">
        <f>VLOOKUP($C8,Items!$A$2:$AE$10014,7,FALSE)</f>
        <v>0</v>
      </c>
      <c r="G8" s="28">
        <f>VLOOKUP($C8,Items!$A$2:$AE$10014,8,FALSE)</f>
        <v>0</v>
      </c>
      <c r="H8" s="28">
        <f>IF(E8=0,+VLOOKUP($C8,Items!$A$2:$AE$10014,9,FALSE),+VLOOKUP($C8,Items!$A$2:$AE$10014,9,FALSE)*E8*F8*G8)</f>
        <v>0</v>
      </c>
      <c r="I8" s="29">
        <f>IF(E8=0,+VLOOKUP($C8,Items!$A$2:$AE$10014,10,FALSE)*A8,(A8*H8))</f>
        <v>0</v>
      </c>
      <c r="J8" s="8">
        <f>IF(E8=0,+VLOOKUP($C8,Items!$A$2:$AE$10014,3,FALSE),+VLOOKUP($C8,Items!$A$2:$AE$10014,3,FALSE)*H8)</f>
        <v>38</v>
      </c>
      <c r="K8" s="16">
        <f t="shared" si="0"/>
        <v>9.5</v>
      </c>
      <c r="L8" s="36">
        <f t="shared" si="3"/>
        <v>0</v>
      </c>
      <c r="M8" s="16">
        <f t="shared" si="1"/>
        <v>0</v>
      </c>
      <c r="N8" s="17">
        <f>VLOOKUP($C8,Items!$A$2:$AE$10014,4,FALSE)*A8</f>
        <v>4</v>
      </c>
      <c r="O8" s="9">
        <v>0</v>
      </c>
      <c r="P8" s="18">
        <f t="shared" si="4"/>
        <v>0</v>
      </c>
      <c r="Q8" s="16">
        <f t="shared" si="2"/>
        <v>14</v>
      </c>
      <c r="R8" s="61" t="str">
        <f>VLOOKUP($C8,Items!$A$2:$AE$10014,11,FALSE)</f>
        <v>Labor</v>
      </c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</row>
    <row r="9" spans="1:148" x14ac:dyDescent="0.25">
      <c r="A9" s="6">
        <f>0.1*A4</f>
        <v>0.1</v>
      </c>
      <c r="B9" s="7" t="str">
        <f>VLOOKUP($C9,Items!$A$2:$AE$10014,5,FALSE)</f>
        <v>can</v>
      </c>
      <c r="C9" s="41" t="s">
        <v>53</v>
      </c>
      <c r="D9" s="6" t="str">
        <f>VLOOKUP($C9,Items!$A$2:$AE$10014,2,FALSE)</f>
        <v>Bond Rite Adhesive</v>
      </c>
      <c r="E9" s="28">
        <f>VLOOKUP($C9,Items!$A$2:$AE$10014,6,FALSE)</f>
        <v>0</v>
      </c>
      <c r="F9" s="28">
        <f>VLOOKUP($C9,Items!$A$2:$AE$10014,7,FALSE)</f>
        <v>0</v>
      </c>
      <c r="G9" s="28">
        <f>VLOOKUP($C9,Items!$A$2:$AE$10014,8,FALSE)</f>
        <v>0</v>
      </c>
      <c r="H9" s="28">
        <f>IF(E9=0,+VLOOKUP($C9,Items!$A$2:$AE$10014,9,FALSE),+VLOOKUP($C9,Items!$A$2:$AE$10014,9,FALSE)*E9*F9*G9)</f>
        <v>0</v>
      </c>
      <c r="I9" s="29">
        <f>IF(E9=0,+VLOOKUP($C9,Items!$A$2:$AE$10014,10,FALSE)*A9,(A9*H9))</f>
        <v>0</v>
      </c>
      <c r="J9" s="8">
        <f>IF(E9=0,+VLOOKUP($C9,Items!$A$2:$AE$10014,3,FALSE),+VLOOKUP($C9,Items!$A$2:$AE$10014,3,FALSE)*H9)</f>
        <v>425</v>
      </c>
      <c r="K9" s="16">
        <f t="shared" si="0"/>
        <v>42.5</v>
      </c>
      <c r="L9" s="36">
        <f t="shared" si="3"/>
        <v>0</v>
      </c>
      <c r="M9" s="16">
        <f t="shared" si="1"/>
        <v>0</v>
      </c>
      <c r="N9" s="17">
        <f>VLOOKUP($C9,Items!$A$2:$AE$10014,4,FALSE)*A9</f>
        <v>0</v>
      </c>
      <c r="O9" s="9">
        <v>0</v>
      </c>
      <c r="P9" s="18">
        <f t="shared" si="4"/>
        <v>0</v>
      </c>
      <c r="Q9" s="16">
        <f t="shared" si="2"/>
        <v>43</v>
      </c>
      <c r="R9" s="61" t="str">
        <f>VLOOKUP($C9,Items!$A$2:$AE$10014,11,FALSE)</f>
        <v>Material</v>
      </c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</row>
    <row r="10" spans="1:148" x14ac:dyDescent="0.25">
      <c r="A10" s="6">
        <f>0.0625*A4</f>
        <v>6.25E-2</v>
      </c>
      <c r="B10" s="7" t="str">
        <f>VLOOKUP($C10,Items!$A$2:$AE$10014,5,FALSE)</f>
        <v>ea</v>
      </c>
      <c r="C10" s="41" t="s">
        <v>29</v>
      </c>
      <c r="D10" s="6" t="s">
        <v>153</v>
      </c>
      <c r="E10" s="28">
        <f>VLOOKUP($C10,Items!$A$2:$AE$10014,6,FALSE)</f>
        <v>0</v>
      </c>
      <c r="F10" s="28">
        <f>VLOOKUP($C10,Items!$A$2:$AE$10014,7,FALSE)</f>
        <v>0</v>
      </c>
      <c r="G10" s="28">
        <f>VLOOKUP($C10,Items!$A$2:$AE$10014,8,FALSE)</f>
        <v>0</v>
      </c>
      <c r="H10" s="28">
        <f>IF(E10=0,+VLOOKUP($C10,Items!$A$2:$AE$10014,9,FALSE),+VLOOKUP($C10,Items!$A$2:$AE$10014,9,FALSE)*E10*F10*G10)</f>
        <v>0</v>
      </c>
      <c r="I10" s="29">
        <f>IF(E10=0,+VLOOKUP($C10,Items!$A$2:$AE$10014,10,FALSE)*A10,(A10*H10))</f>
        <v>3.125</v>
      </c>
      <c r="J10" s="8">
        <f>IF(E10=0,+VLOOKUP($C10,Items!$A$2:$AE$10014,3,FALSE),+VLOOKUP($C10,Items!$A$2:$AE$10014,3,FALSE)*H10)</f>
        <v>65</v>
      </c>
      <c r="K10" s="16">
        <f t="shared" si="0"/>
        <v>4.0625</v>
      </c>
      <c r="L10" s="36">
        <f t="shared" si="3"/>
        <v>0</v>
      </c>
      <c r="M10" s="16">
        <f t="shared" si="1"/>
        <v>0</v>
      </c>
      <c r="N10" s="17">
        <f>VLOOKUP($C10,Items!$A$2:$AE$10014,4,FALSE)*A10</f>
        <v>0</v>
      </c>
      <c r="O10" s="9">
        <v>0</v>
      </c>
      <c r="P10" s="18">
        <f t="shared" si="4"/>
        <v>0</v>
      </c>
      <c r="Q10" s="16">
        <f t="shared" si="2"/>
        <v>5</v>
      </c>
      <c r="R10" s="61" t="str">
        <f>VLOOKUP($C10,Items!$A$2:$AE$10014,11,FALSE)</f>
        <v>Material</v>
      </c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/>
      <c r="EA10" s="22"/>
      <c r="EB10" s="22"/>
      <c r="EC10" s="22"/>
      <c r="ED10" s="22"/>
      <c r="EE10" s="22"/>
      <c r="EF10" s="22"/>
      <c r="EG10" s="22"/>
      <c r="EH10" s="22"/>
      <c r="EI10" s="22"/>
      <c r="EJ10" s="22"/>
      <c r="EK10" s="22"/>
      <c r="EL10" s="22"/>
      <c r="EM10" s="22"/>
      <c r="EN10" s="22"/>
      <c r="EO10" s="22"/>
      <c r="EP10" s="22"/>
      <c r="EQ10" s="22"/>
      <c r="ER10" s="22"/>
    </row>
    <row r="11" spans="1:148" x14ac:dyDescent="0.25">
      <c r="A11" s="6">
        <f>0.0625*A4</f>
        <v>6.25E-2</v>
      </c>
      <c r="B11" s="7" t="str">
        <f>VLOOKUP($C11,Items!$A$2:$AE$10014,5,FALSE)</f>
        <v>ea</v>
      </c>
      <c r="C11" s="41" t="s">
        <v>50</v>
      </c>
      <c r="D11" s="6" t="s">
        <v>154</v>
      </c>
      <c r="E11" s="28">
        <f>VLOOKUP($C11,Items!$A$2:$AE$10014,6,FALSE)</f>
        <v>0</v>
      </c>
      <c r="F11" s="28">
        <f>VLOOKUP($C11,Items!$A$2:$AE$10014,7,FALSE)</f>
        <v>0</v>
      </c>
      <c r="G11" s="28">
        <f>VLOOKUP($C11,Items!$A$2:$AE$10014,8,FALSE)</f>
        <v>0</v>
      </c>
      <c r="H11" s="28">
        <f>IF(E11=0,+VLOOKUP($C11,Items!$A$2:$AE$10014,9,FALSE),+VLOOKUP($C11,Items!$A$2:$AE$10014,9,FALSE)*E11*F11*G11)</f>
        <v>0</v>
      </c>
      <c r="I11" s="29">
        <f>IF(E11=0,+VLOOKUP($C11,Items!$A$2:$AE$10014,10,FALSE)*A11,(A11*H11))</f>
        <v>0</v>
      </c>
      <c r="J11" s="8">
        <f>IF(E11=0,+VLOOKUP($C11,Items!$A$2:$AE$10014,3,FALSE),+VLOOKUP($C11,Items!$A$2:$AE$10014,3,FALSE)*H11)</f>
        <v>30</v>
      </c>
      <c r="K11" s="16">
        <f t="shared" si="0"/>
        <v>1.875</v>
      </c>
      <c r="L11" s="36">
        <f t="shared" si="3"/>
        <v>0</v>
      </c>
      <c r="M11" s="16">
        <f t="shared" si="1"/>
        <v>0</v>
      </c>
      <c r="N11" s="17">
        <f>VLOOKUP($C11,Items!$A$2:$AE$10014,4,FALSE)*A11</f>
        <v>0</v>
      </c>
      <c r="O11" s="9">
        <v>0</v>
      </c>
      <c r="P11" s="18">
        <f t="shared" si="4"/>
        <v>0</v>
      </c>
      <c r="Q11" s="16">
        <f t="shared" si="2"/>
        <v>2</v>
      </c>
      <c r="R11" s="61" t="str">
        <f>VLOOKUP($C11,Items!$A$2:$AE$10014,11,FALSE)</f>
        <v>Material</v>
      </c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  <c r="EI11" s="22"/>
      <c r="EJ11" s="22"/>
      <c r="EK11" s="22"/>
      <c r="EL11" s="22"/>
      <c r="EM11" s="22"/>
      <c r="EN11" s="22"/>
      <c r="EO11" s="22"/>
      <c r="EP11" s="22"/>
      <c r="EQ11" s="22"/>
      <c r="ER11" s="22"/>
    </row>
    <row r="12" spans="1:148" x14ac:dyDescent="0.25"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</row>
    <row r="13" spans="1:148" x14ac:dyDescent="0.25"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  <c r="EI13" s="22"/>
      <c r="EJ13" s="22"/>
      <c r="EK13" s="22"/>
      <c r="EL13" s="22"/>
      <c r="EM13" s="22"/>
      <c r="EN13" s="22"/>
      <c r="EO13" s="22"/>
      <c r="EP13" s="22"/>
      <c r="EQ13" s="22"/>
      <c r="ER13" s="22"/>
    </row>
    <row r="14" spans="1:148" x14ac:dyDescent="0.25"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22"/>
      <c r="EH14" s="22"/>
      <c r="EI14" s="22"/>
      <c r="EJ14" s="22"/>
      <c r="EK14" s="22"/>
      <c r="EL14" s="22"/>
      <c r="EM14" s="22"/>
      <c r="EN14" s="22"/>
      <c r="EO14" s="22"/>
      <c r="EP14" s="22"/>
      <c r="EQ14" s="22"/>
      <c r="ER14" s="22"/>
    </row>
    <row r="15" spans="1:148" ht="15.75" x14ac:dyDescent="0.25">
      <c r="A15" s="74">
        <v>1</v>
      </c>
      <c r="B15" s="74" t="s">
        <v>0</v>
      </c>
      <c r="C15" s="75" t="s">
        <v>294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  <c r="EI15" s="22"/>
      <c r="EJ15" s="22"/>
      <c r="EK15" s="22"/>
      <c r="EL15" s="22"/>
      <c r="EM15" s="22"/>
      <c r="EN15" s="22"/>
      <c r="EO15" s="22"/>
      <c r="EP15" s="22"/>
      <c r="EQ15" s="22"/>
      <c r="ER15" s="22"/>
    </row>
    <row r="16" spans="1:148" ht="39" x14ac:dyDescent="0.25">
      <c r="A16" s="1" t="s">
        <v>7</v>
      </c>
      <c r="B16" s="1" t="s">
        <v>3</v>
      </c>
      <c r="C16" s="1" t="s">
        <v>10</v>
      </c>
      <c r="D16" s="1" t="s">
        <v>4</v>
      </c>
      <c r="E16" s="3" t="s">
        <v>21</v>
      </c>
      <c r="F16" s="3" t="s">
        <v>26</v>
      </c>
      <c r="G16" s="3" t="s">
        <v>27</v>
      </c>
      <c r="H16" s="3" t="s">
        <v>145</v>
      </c>
      <c r="I16" s="3" t="s">
        <v>23</v>
      </c>
      <c r="J16" s="3" t="s">
        <v>146</v>
      </c>
      <c r="K16" s="3" t="s">
        <v>15</v>
      </c>
      <c r="L16" s="3" t="s">
        <v>8</v>
      </c>
      <c r="M16" s="3" t="s">
        <v>5</v>
      </c>
      <c r="N16" s="3" t="s">
        <v>11</v>
      </c>
      <c r="O16" s="3" t="s">
        <v>2</v>
      </c>
      <c r="P16" s="1" t="s">
        <v>1</v>
      </c>
      <c r="Q16" s="3" t="s">
        <v>6</v>
      </c>
      <c r="R16" s="3" t="s">
        <v>18</v>
      </c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22"/>
      <c r="EH16" s="22"/>
      <c r="EI16" s="22"/>
      <c r="EJ16" s="22"/>
      <c r="EK16" s="22"/>
      <c r="EL16" s="22"/>
      <c r="EM16" s="22"/>
      <c r="EN16" s="22"/>
      <c r="EO16" s="22"/>
      <c r="EP16" s="22"/>
      <c r="EQ16" s="22"/>
      <c r="ER16" s="22"/>
    </row>
    <row r="17" spans="1:148" x14ac:dyDescent="0.25">
      <c r="A17" s="6">
        <f>1*A15</f>
        <v>1</v>
      </c>
      <c r="B17" s="7" t="str">
        <f>VLOOKUP($C17,Items!$A$2:$AE$10014,5,FALSE)</f>
        <v>ea</v>
      </c>
      <c r="C17" s="41" t="s">
        <v>42</v>
      </c>
      <c r="D17" s="6"/>
      <c r="E17" s="28">
        <v>16</v>
      </c>
      <c r="F17" s="28">
        <v>84</v>
      </c>
      <c r="G17" s="28">
        <v>0.625</v>
      </c>
      <c r="H17" s="28">
        <f>IF(E17=0,+VLOOKUP($C17,Items!$A$2:$AE$10014,9,FALSE),+VLOOKUP($C17,Items!$A$2:$AE$10014,9,FALSE)*E17*F17*G17)</f>
        <v>350.00279999999998</v>
      </c>
      <c r="I17" s="29">
        <f>IF(E17=0,+VLOOKUP($C17,Items!$A$2:$AE$10014,10,FALSE)*A17,(A17*H17))</f>
        <v>350.00279999999998</v>
      </c>
      <c r="J17" s="8">
        <f>IF(E17=0,+VLOOKUP($C17,Items!$A$2:$AE$10014,3,FALSE),+VLOOKUP($C17,Items!$A$2:$AE$10014,3,FALSE)*H17)</f>
        <v>612.50489999999991</v>
      </c>
      <c r="K17" s="16">
        <f t="shared" ref="K17:K22" si="5">A17*J17</f>
        <v>612.50489999999991</v>
      </c>
      <c r="L17" s="36">
        <f>IF(R17="Labor",$D$2,$D$3)</f>
        <v>0</v>
      </c>
      <c r="M17" s="16">
        <f t="shared" ref="M17:M22" si="6">K17*L17</f>
        <v>0</v>
      </c>
      <c r="N17" s="17">
        <f>VLOOKUP($C17,Items!$A$2:$AE$10014,4,FALSE)*A17</f>
        <v>0</v>
      </c>
      <c r="O17" s="9">
        <v>0</v>
      </c>
      <c r="P17" s="18">
        <f>IF(O17=1,(K17+M17)*($D$1),0)</f>
        <v>0</v>
      </c>
      <c r="Q17" s="16">
        <f t="shared" ref="Q17:Q22" si="7">ROUNDUP(K17+M17+N17+P17,0)</f>
        <v>613</v>
      </c>
      <c r="R17" s="61" t="str">
        <f>VLOOKUP($C17,Items!$A$2:$AE$10014,11,FALSE)</f>
        <v>Material</v>
      </c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</row>
    <row r="18" spans="1:148" x14ac:dyDescent="0.25">
      <c r="A18" s="6">
        <f>0.083333*A15</f>
        <v>8.3333000000000004E-2</v>
      </c>
      <c r="B18" s="7" t="str">
        <f>VLOOKUP($C18,Items!$A$2:$AE$10014,5,FALSE)</f>
        <v>ea</v>
      </c>
      <c r="C18" s="41" t="s">
        <v>240</v>
      </c>
      <c r="D18" s="6" t="s">
        <v>238</v>
      </c>
      <c r="E18" s="28">
        <f>VLOOKUP($C18,Items!$A$2:$AE$10014,6,FALSE)</f>
        <v>48</v>
      </c>
      <c r="F18" s="28">
        <f>VLOOKUP($C18,Items!$A$2:$AE$10014,7,FALSE)</f>
        <v>96</v>
      </c>
      <c r="G18" s="28">
        <f>VLOOKUP($C18,Items!$A$2:$AE$10014,8,FALSE)</f>
        <v>0.75</v>
      </c>
      <c r="H18" s="28">
        <f>IF(E18=0,+VLOOKUP($C18,Items!$A$2:$AE$10014,9,FALSE),+VLOOKUP($C18,Items!$A$2:$AE$10014,9,FALSE)*E18*F18*G18)</f>
        <v>69.5996928</v>
      </c>
      <c r="I18" s="29">
        <f>IF(E18=0,+VLOOKUP($C18,Items!$A$2:$AE$10014,10,FALSE)*A18,(A18*H18))</f>
        <v>5.7999512001024005</v>
      </c>
      <c r="J18" s="8">
        <f>IF(E18=0,+VLOOKUP($C18,Items!$A$2:$AE$10014,3,FALSE),+VLOOKUP($C18,Items!$A$2:$AE$10014,3,FALSE)*H18)</f>
        <v>86.999616000000003</v>
      </c>
      <c r="K18" s="16">
        <f t="shared" si="5"/>
        <v>7.2499390001280011</v>
      </c>
      <c r="L18" s="36">
        <f t="shared" ref="L18:L22" si="8">IF(R18="Labor",$D$2,$D$3)</f>
        <v>0</v>
      </c>
      <c r="M18" s="16">
        <f t="shared" si="6"/>
        <v>0</v>
      </c>
      <c r="N18" s="17">
        <f>VLOOKUP($C18,Items!$A$2:$AE$10014,4,FALSE)*A18</f>
        <v>0</v>
      </c>
      <c r="O18" s="9">
        <v>0</v>
      </c>
      <c r="P18" s="18">
        <f t="shared" ref="P18:P22" si="9">IF(O18=1,(K18+M18)*($D$1),0)</f>
        <v>0</v>
      </c>
      <c r="Q18" s="16">
        <f t="shared" si="7"/>
        <v>8</v>
      </c>
      <c r="R18" s="61" t="str">
        <f>VLOOKUP($C18,Items!$A$2:$AE$10014,11,FALSE)</f>
        <v>Material</v>
      </c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</row>
    <row r="19" spans="1:148" x14ac:dyDescent="0.25">
      <c r="A19" s="6">
        <f>0.25*A15</f>
        <v>0.25</v>
      </c>
      <c r="B19" s="7" t="str">
        <f>VLOOKUP($C19,Items!$A$2:$AE$10014,5,FALSE)</f>
        <v>mh</v>
      </c>
      <c r="C19" s="41" t="s">
        <v>46</v>
      </c>
      <c r="D19" s="6" t="s">
        <v>152</v>
      </c>
      <c r="E19" s="28">
        <f>VLOOKUP($C19,Items!$A$2:$AE$10014,6,FALSE)</f>
        <v>0</v>
      </c>
      <c r="F19" s="28">
        <f>VLOOKUP($C19,Items!$A$2:$AE$10014,7,FALSE)</f>
        <v>0</v>
      </c>
      <c r="G19" s="28">
        <f>VLOOKUP($C19,Items!$A$2:$AE$10014,8,FALSE)</f>
        <v>0</v>
      </c>
      <c r="H19" s="28">
        <f>IF(E19=0,+VLOOKUP($C19,Items!$A$2:$AE$10014,9,FALSE),+VLOOKUP($C19,Items!$A$2:$AE$10014,9,FALSE)*E19*F19*G19)</f>
        <v>0</v>
      </c>
      <c r="I19" s="29">
        <f>IF(E19=0,+VLOOKUP($C19,Items!$A$2:$AE$10014,10,FALSE)*A19,(A19*H19))</f>
        <v>0</v>
      </c>
      <c r="J19" s="8">
        <f>IF(E19=0,+VLOOKUP($C19,Items!$A$2:$AE$10014,3,FALSE),+VLOOKUP($C19,Items!$A$2:$AE$10014,3,FALSE)*H19)</f>
        <v>38</v>
      </c>
      <c r="K19" s="16">
        <f t="shared" si="5"/>
        <v>9.5</v>
      </c>
      <c r="L19" s="36">
        <f t="shared" si="8"/>
        <v>0</v>
      </c>
      <c r="M19" s="16">
        <f t="shared" si="6"/>
        <v>0</v>
      </c>
      <c r="N19" s="17">
        <f>VLOOKUP($C19,Items!$A$2:$AE$10014,4,FALSE)*A19</f>
        <v>4</v>
      </c>
      <c r="O19" s="9">
        <v>0</v>
      </c>
      <c r="P19" s="18">
        <f t="shared" si="9"/>
        <v>0</v>
      </c>
      <c r="Q19" s="16">
        <f t="shared" si="7"/>
        <v>14</v>
      </c>
      <c r="R19" s="61" t="str">
        <f>VLOOKUP($C19,Items!$A$2:$AE$10014,11,FALSE)</f>
        <v>Labor</v>
      </c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</row>
    <row r="20" spans="1:148" x14ac:dyDescent="0.25">
      <c r="A20" s="6">
        <f>0.01*A15</f>
        <v>0.01</v>
      </c>
      <c r="B20" s="7" t="str">
        <f>VLOOKUP($C20,Items!$A$2:$AE$10014,5,FALSE)</f>
        <v>can</v>
      </c>
      <c r="C20" s="41" t="s">
        <v>53</v>
      </c>
      <c r="D20" s="6" t="str">
        <f>VLOOKUP($C20,Items!$A$2:$AE$10014,2,FALSE)</f>
        <v>Bond Rite Adhesive</v>
      </c>
      <c r="E20" s="28">
        <f>VLOOKUP($C20,Items!$A$2:$AE$10014,6,FALSE)</f>
        <v>0</v>
      </c>
      <c r="F20" s="28">
        <f>VLOOKUP($C20,Items!$A$2:$AE$10014,7,FALSE)</f>
        <v>0</v>
      </c>
      <c r="G20" s="28">
        <f>VLOOKUP($C20,Items!$A$2:$AE$10014,8,FALSE)</f>
        <v>0</v>
      </c>
      <c r="H20" s="28">
        <f>IF(E20=0,+VLOOKUP($C20,Items!$A$2:$AE$10014,9,FALSE),+VLOOKUP($C20,Items!$A$2:$AE$10014,9,FALSE)*E20*F20*G20)</f>
        <v>0</v>
      </c>
      <c r="I20" s="29">
        <f>IF(E20=0,+VLOOKUP($C20,Items!$A$2:$AE$10014,10,FALSE)*A20,(A20*H20))</f>
        <v>0</v>
      </c>
      <c r="J20" s="8">
        <f>IF(E20=0,+VLOOKUP($C20,Items!$A$2:$AE$10014,3,FALSE),+VLOOKUP($C20,Items!$A$2:$AE$10014,3,FALSE)*H20)</f>
        <v>425</v>
      </c>
      <c r="K20" s="16">
        <f t="shared" si="5"/>
        <v>4.25</v>
      </c>
      <c r="L20" s="36">
        <f t="shared" si="8"/>
        <v>0</v>
      </c>
      <c r="M20" s="16">
        <f t="shared" si="6"/>
        <v>0</v>
      </c>
      <c r="N20" s="17">
        <f>VLOOKUP($C20,Items!$A$2:$AE$10014,4,FALSE)*A20</f>
        <v>0</v>
      </c>
      <c r="O20" s="9">
        <v>0</v>
      </c>
      <c r="P20" s="18">
        <f t="shared" si="9"/>
        <v>0</v>
      </c>
      <c r="Q20" s="16">
        <f t="shared" si="7"/>
        <v>5</v>
      </c>
      <c r="R20" s="61" t="str">
        <f>VLOOKUP($C20,Items!$A$2:$AE$10014,11,FALSE)</f>
        <v>Material</v>
      </c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</row>
    <row r="21" spans="1:148" x14ac:dyDescent="0.25">
      <c r="A21" s="6">
        <f>0.0625*A15</f>
        <v>6.25E-2</v>
      </c>
      <c r="B21" s="7" t="str">
        <f>VLOOKUP($C21,Items!$A$2:$AE$10014,5,FALSE)</f>
        <v>ea</v>
      </c>
      <c r="C21" s="41" t="s">
        <v>29</v>
      </c>
      <c r="D21" s="6" t="s">
        <v>153</v>
      </c>
      <c r="E21" s="28">
        <f>VLOOKUP($C21,Items!$A$2:$AE$10014,6,FALSE)</f>
        <v>0</v>
      </c>
      <c r="F21" s="28">
        <f>VLOOKUP($C21,Items!$A$2:$AE$10014,7,FALSE)</f>
        <v>0</v>
      </c>
      <c r="G21" s="28">
        <f>VLOOKUP($C21,Items!$A$2:$AE$10014,8,FALSE)</f>
        <v>0</v>
      </c>
      <c r="H21" s="28">
        <f>IF(E21=0,+VLOOKUP($C21,Items!$A$2:$AE$10014,9,FALSE),+VLOOKUP($C21,Items!$A$2:$AE$10014,9,FALSE)*E21*F21*G21)</f>
        <v>0</v>
      </c>
      <c r="I21" s="29">
        <f>IF(E21=0,+VLOOKUP($C21,Items!$A$2:$AE$10014,10,FALSE)*A21,(A21*H21))</f>
        <v>3.125</v>
      </c>
      <c r="J21" s="8">
        <f>IF(E21=0,+VLOOKUP($C21,Items!$A$2:$AE$10014,3,FALSE),+VLOOKUP($C21,Items!$A$2:$AE$10014,3,FALSE)*H21)</f>
        <v>65</v>
      </c>
      <c r="K21" s="16">
        <f t="shared" si="5"/>
        <v>4.0625</v>
      </c>
      <c r="L21" s="36">
        <f t="shared" si="8"/>
        <v>0</v>
      </c>
      <c r="M21" s="16">
        <f t="shared" si="6"/>
        <v>0</v>
      </c>
      <c r="N21" s="17">
        <f>VLOOKUP($C21,Items!$A$2:$AE$10014,4,FALSE)*A21</f>
        <v>0</v>
      </c>
      <c r="O21" s="9">
        <v>0</v>
      </c>
      <c r="P21" s="18">
        <f t="shared" si="9"/>
        <v>0</v>
      </c>
      <c r="Q21" s="16">
        <f t="shared" si="7"/>
        <v>5</v>
      </c>
      <c r="R21" s="61" t="str">
        <f>VLOOKUP($C21,Items!$A$2:$AE$10014,11,FALSE)</f>
        <v>Material</v>
      </c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</row>
    <row r="22" spans="1:148" x14ac:dyDescent="0.25">
      <c r="A22" s="6">
        <f>0.0625*A15</f>
        <v>6.25E-2</v>
      </c>
      <c r="B22" s="7" t="str">
        <f>VLOOKUP($C22,Items!$A$2:$AE$10014,5,FALSE)</f>
        <v>ea</v>
      </c>
      <c r="C22" s="41" t="s">
        <v>50</v>
      </c>
      <c r="D22" s="6" t="s">
        <v>154</v>
      </c>
      <c r="E22" s="28">
        <f>VLOOKUP($C22,Items!$A$2:$AE$10014,6,FALSE)</f>
        <v>0</v>
      </c>
      <c r="F22" s="28">
        <f>VLOOKUP($C22,Items!$A$2:$AE$10014,7,FALSE)</f>
        <v>0</v>
      </c>
      <c r="G22" s="28">
        <f>VLOOKUP($C22,Items!$A$2:$AE$10014,8,FALSE)</f>
        <v>0</v>
      </c>
      <c r="H22" s="28">
        <f>IF(E22=0,+VLOOKUP($C22,Items!$A$2:$AE$10014,9,FALSE),+VLOOKUP($C22,Items!$A$2:$AE$10014,9,FALSE)*E22*F22*G22)</f>
        <v>0</v>
      </c>
      <c r="I22" s="29">
        <f>IF(E22=0,+VLOOKUP($C22,Items!$A$2:$AE$10014,10,FALSE)*A22,(A22*H22))</f>
        <v>0</v>
      </c>
      <c r="J22" s="8">
        <f>IF(E22=0,+VLOOKUP($C22,Items!$A$2:$AE$10014,3,FALSE),+VLOOKUP($C22,Items!$A$2:$AE$10014,3,FALSE)*H22)</f>
        <v>30</v>
      </c>
      <c r="K22" s="16">
        <f t="shared" si="5"/>
        <v>1.875</v>
      </c>
      <c r="L22" s="36">
        <f t="shared" si="8"/>
        <v>0</v>
      </c>
      <c r="M22" s="16">
        <f t="shared" si="6"/>
        <v>0</v>
      </c>
      <c r="N22" s="17">
        <f>VLOOKUP($C22,Items!$A$2:$AE$10014,4,FALSE)*A22</f>
        <v>0</v>
      </c>
      <c r="O22" s="9">
        <v>0</v>
      </c>
      <c r="P22" s="18">
        <f t="shared" si="9"/>
        <v>0</v>
      </c>
      <c r="Q22" s="16">
        <f t="shared" si="7"/>
        <v>2</v>
      </c>
      <c r="R22" s="61" t="str">
        <f>VLOOKUP($C22,Items!$A$2:$AE$10014,11,FALSE)</f>
        <v>Material</v>
      </c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</row>
    <row r="23" spans="1:148" x14ac:dyDescent="0.25"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</row>
    <row r="24" spans="1:148" x14ac:dyDescent="0.25"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</row>
    <row r="25" spans="1:148" x14ac:dyDescent="0.25"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</row>
    <row r="26" spans="1:148" ht="15.75" x14ac:dyDescent="0.25">
      <c r="A26" s="74">
        <v>1</v>
      </c>
      <c r="B26" s="74" t="s">
        <v>0</v>
      </c>
      <c r="C26" s="75" t="s">
        <v>252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</row>
    <row r="27" spans="1:148" ht="39" x14ac:dyDescent="0.25">
      <c r="A27" s="1" t="s">
        <v>7</v>
      </c>
      <c r="B27" s="1" t="s">
        <v>3</v>
      </c>
      <c r="C27" s="1" t="s">
        <v>10</v>
      </c>
      <c r="D27" s="1" t="s">
        <v>4</v>
      </c>
      <c r="E27" s="3" t="s">
        <v>21</v>
      </c>
      <c r="F27" s="3" t="s">
        <v>26</v>
      </c>
      <c r="G27" s="3" t="s">
        <v>27</v>
      </c>
      <c r="H27" s="3" t="s">
        <v>145</v>
      </c>
      <c r="I27" s="3" t="s">
        <v>23</v>
      </c>
      <c r="J27" s="3" t="s">
        <v>146</v>
      </c>
      <c r="K27" s="3" t="s">
        <v>15</v>
      </c>
      <c r="L27" s="3" t="s">
        <v>8</v>
      </c>
      <c r="M27" s="3" t="s">
        <v>5</v>
      </c>
      <c r="N27" s="3" t="s">
        <v>11</v>
      </c>
      <c r="O27" s="3" t="s">
        <v>2</v>
      </c>
      <c r="P27" s="1" t="s">
        <v>1</v>
      </c>
      <c r="Q27" s="3" t="s">
        <v>6</v>
      </c>
      <c r="R27" s="3" t="s">
        <v>18</v>
      </c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</row>
    <row r="28" spans="1:148" x14ac:dyDescent="0.25">
      <c r="A28" s="6">
        <f>1*A26</f>
        <v>1</v>
      </c>
      <c r="B28" s="7" t="str">
        <f>VLOOKUP($C28,Items!$A$2:$AE$10014,5,FALSE)</f>
        <v>ea</v>
      </c>
      <c r="C28" s="41" t="s">
        <v>42</v>
      </c>
      <c r="D28" s="6"/>
      <c r="E28" s="28">
        <v>49</v>
      </c>
      <c r="F28" s="28">
        <v>84</v>
      </c>
      <c r="G28" s="28">
        <v>2.0000000000000001E-4</v>
      </c>
      <c r="H28" s="28">
        <f>IF(E28=0,+VLOOKUP($C28,Items!$A$2:$AE$10014,9,FALSE),+VLOOKUP($C28,Items!$A$2:$AE$10014,9,FALSE)*E28*F28*G28)</f>
        <v>0.34300274400000003</v>
      </c>
      <c r="I28" s="29">
        <f>IF(E28=0,+VLOOKUP($C28,Items!$A$2:$AE$10014,10,FALSE)*A28,(A28*H28))</f>
        <v>0.34300274400000003</v>
      </c>
      <c r="J28" s="8">
        <f>IF(E28=0,+VLOOKUP($C28,Items!$A$2:$AE$10014,3,FALSE),+VLOOKUP($C28,Items!$A$2:$AE$10014,3,FALSE)*H28)</f>
        <v>0.60025480200000003</v>
      </c>
      <c r="K28" s="16">
        <f t="shared" ref="K28:K33" si="10">A28*J28</f>
        <v>0.60025480200000003</v>
      </c>
      <c r="L28" s="36">
        <f>IF(R28="Labor",$D$2,$D$3)</f>
        <v>0</v>
      </c>
      <c r="M28" s="16">
        <f t="shared" ref="M28:M33" si="11">K28*L28</f>
        <v>0</v>
      </c>
      <c r="N28" s="17">
        <f>VLOOKUP($C28,Items!$A$2:$AE$10014,4,FALSE)*A28</f>
        <v>0</v>
      </c>
      <c r="O28" s="9">
        <v>0</v>
      </c>
      <c r="P28" s="18">
        <f>IF(O28=1,(K28+M28)*($D$1),0)</f>
        <v>0</v>
      </c>
      <c r="Q28" s="16">
        <f t="shared" ref="Q28:Q33" si="12">ROUNDUP(K28+M28+N28+P28,0)</f>
        <v>1</v>
      </c>
      <c r="R28" s="61" t="str">
        <f>VLOOKUP($C28,Items!$A$2:$AE$10014,11,FALSE)</f>
        <v>Material</v>
      </c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2"/>
      <c r="EN28" s="22"/>
      <c r="EO28" s="22"/>
      <c r="EP28" s="22"/>
      <c r="EQ28" s="22"/>
      <c r="ER28" s="22"/>
    </row>
    <row r="29" spans="1:148" x14ac:dyDescent="0.25">
      <c r="A29" s="6">
        <f>0.3333*A26</f>
        <v>0.33329999999999999</v>
      </c>
      <c r="B29" s="7" t="str">
        <f>VLOOKUP($C29,Items!$A$2:$AE$10014,5,FALSE)</f>
        <v>ea</v>
      </c>
      <c r="C29" s="41" t="s">
        <v>240</v>
      </c>
      <c r="D29" s="6" t="s">
        <v>238</v>
      </c>
      <c r="E29" s="28">
        <f>VLOOKUP($C29,Items!$A$2:$AE$10014,6,FALSE)</f>
        <v>48</v>
      </c>
      <c r="F29" s="28">
        <f>VLOOKUP($C29,Items!$A$2:$AE$10014,7,FALSE)</f>
        <v>96</v>
      </c>
      <c r="G29" s="28">
        <f>VLOOKUP($C29,Items!$A$2:$AE$10014,8,FALSE)</f>
        <v>0.75</v>
      </c>
      <c r="H29" s="28">
        <f>IF(E29=0,+VLOOKUP($C29,Items!$A$2:$AE$10014,9,FALSE),+VLOOKUP($C29,Items!$A$2:$AE$10014,9,FALSE)*E29*F29*G29)</f>
        <v>69.5996928</v>
      </c>
      <c r="I29" s="29">
        <f>IF(E29=0,+VLOOKUP($C29,Items!$A$2:$AE$10014,10,FALSE)*A29,(A29*H29))</f>
        <v>23.19757761024</v>
      </c>
      <c r="J29" s="8">
        <f>IF(E29=0,+VLOOKUP($C29,Items!$A$2:$AE$10014,3,FALSE),+VLOOKUP($C29,Items!$A$2:$AE$10014,3,FALSE)*H29)</f>
        <v>86.999616000000003</v>
      </c>
      <c r="K29" s="16">
        <f t="shared" si="10"/>
        <v>28.996972012800001</v>
      </c>
      <c r="L29" s="36">
        <f t="shared" ref="L29:L33" si="13">IF(R29="Labor",$D$2,$D$3)</f>
        <v>0</v>
      </c>
      <c r="M29" s="16">
        <f t="shared" si="11"/>
        <v>0</v>
      </c>
      <c r="N29" s="17">
        <f>VLOOKUP($C29,Items!$A$2:$AE$10014,4,FALSE)*A29</f>
        <v>0</v>
      </c>
      <c r="O29" s="9">
        <v>0</v>
      </c>
      <c r="P29" s="18">
        <f t="shared" ref="P29:P33" si="14">IF(O29=1,(K29+M29)*($D$1),0)</f>
        <v>0</v>
      </c>
      <c r="Q29" s="16">
        <f t="shared" si="12"/>
        <v>29</v>
      </c>
      <c r="R29" s="61" t="str">
        <f>VLOOKUP($C29,Items!$A$2:$AE$10014,11,FALSE)</f>
        <v>Material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</row>
    <row r="30" spans="1:148" x14ac:dyDescent="0.25">
      <c r="A30" s="6">
        <f>0.25*A26</f>
        <v>0.25</v>
      </c>
      <c r="B30" s="7" t="str">
        <f>VLOOKUP($C30,Items!$A$2:$AE$10014,5,FALSE)</f>
        <v>mh</v>
      </c>
      <c r="C30" s="41" t="s">
        <v>46</v>
      </c>
      <c r="D30" s="6" t="s">
        <v>152</v>
      </c>
      <c r="E30" s="28">
        <f>VLOOKUP($C30,Items!$A$2:$AE$10014,6,FALSE)</f>
        <v>0</v>
      </c>
      <c r="F30" s="28">
        <f>VLOOKUP($C30,Items!$A$2:$AE$10014,7,FALSE)</f>
        <v>0</v>
      </c>
      <c r="G30" s="28">
        <f>VLOOKUP($C30,Items!$A$2:$AE$10014,8,FALSE)</f>
        <v>0</v>
      </c>
      <c r="H30" s="28">
        <f>IF(E30=0,+VLOOKUP($C30,Items!$A$2:$AE$10014,9,FALSE),+VLOOKUP($C30,Items!$A$2:$AE$10014,9,FALSE)*E30*F30*G30)</f>
        <v>0</v>
      </c>
      <c r="I30" s="29">
        <f>IF(E30=0,+VLOOKUP($C30,Items!$A$2:$AE$10014,10,FALSE)*A30,(A30*H30))</f>
        <v>0</v>
      </c>
      <c r="J30" s="8">
        <f>IF(E30=0,+VLOOKUP($C30,Items!$A$2:$AE$10014,3,FALSE),+VLOOKUP($C30,Items!$A$2:$AE$10014,3,FALSE)*H30)</f>
        <v>38</v>
      </c>
      <c r="K30" s="16">
        <f t="shared" si="10"/>
        <v>9.5</v>
      </c>
      <c r="L30" s="36">
        <f t="shared" si="13"/>
        <v>0</v>
      </c>
      <c r="M30" s="16">
        <f t="shared" si="11"/>
        <v>0</v>
      </c>
      <c r="N30" s="17">
        <f>VLOOKUP($C30,Items!$A$2:$AE$10014,4,FALSE)*A30</f>
        <v>4</v>
      </c>
      <c r="O30" s="9">
        <v>0</v>
      </c>
      <c r="P30" s="18">
        <f t="shared" si="14"/>
        <v>0</v>
      </c>
      <c r="Q30" s="16">
        <f t="shared" si="12"/>
        <v>14</v>
      </c>
      <c r="R30" s="61" t="str">
        <f>VLOOKUP($C30,Items!$A$2:$AE$10014,11,FALSE)</f>
        <v>Labor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22"/>
      <c r="EH30" s="22"/>
      <c r="EI30" s="22"/>
      <c r="EJ30" s="22"/>
      <c r="EK30" s="22"/>
      <c r="EL30" s="22"/>
      <c r="EM30" s="22"/>
      <c r="EN30" s="22"/>
      <c r="EO30" s="22"/>
      <c r="EP30" s="22"/>
      <c r="EQ30" s="22"/>
      <c r="ER30" s="22"/>
    </row>
    <row r="31" spans="1:148" x14ac:dyDescent="0.25">
      <c r="A31" s="6">
        <f>0.033*A26</f>
        <v>3.3000000000000002E-2</v>
      </c>
      <c r="B31" s="7" t="str">
        <f>VLOOKUP($C31,Items!$A$2:$AE$10014,5,FALSE)</f>
        <v>can</v>
      </c>
      <c r="C31" s="41" t="s">
        <v>53</v>
      </c>
      <c r="D31" s="6" t="str">
        <f>VLOOKUP($C31,Items!$A$2:$AE$10014,2,FALSE)</f>
        <v>Bond Rite Adhesive</v>
      </c>
      <c r="E31" s="28">
        <f>VLOOKUP($C31,Items!$A$2:$AE$10014,6,FALSE)</f>
        <v>0</v>
      </c>
      <c r="F31" s="28">
        <f>VLOOKUP($C31,Items!$A$2:$AE$10014,7,FALSE)</f>
        <v>0</v>
      </c>
      <c r="G31" s="28">
        <f>VLOOKUP($C31,Items!$A$2:$AE$10014,8,FALSE)</f>
        <v>0</v>
      </c>
      <c r="H31" s="28">
        <f>IF(E31=0,+VLOOKUP($C31,Items!$A$2:$AE$10014,9,FALSE),+VLOOKUP($C31,Items!$A$2:$AE$10014,9,FALSE)*E31*F31*G31)</f>
        <v>0</v>
      </c>
      <c r="I31" s="29">
        <f>IF(E31=0,+VLOOKUP($C31,Items!$A$2:$AE$10014,10,FALSE)*A31,(A31*H31))</f>
        <v>0</v>
      </c>
      <c r="J31" s="8">
        <f>IF(E31=0,+VLOOKUP($C31,Items!$A$2:$AE$10014,3,FALSE),+VLOOKUP($C31,Items!$A$2:$AE$10014,3,FALSE)*H31)</f>
        <v>425</v>
      </c>
      <c r="K31" s="16">
        <f t="shared" si="10"/>
        <v>14.025</v>
      </c>
      <c r="L31" s="36">
        <f t="shared" si="13"/>
        <v>0</v>
      </c>
      <c r="M31" s="16">
        <f t="shared" si="11"/>
        <v>0</v>
      </c>
      <c r="N31" s="17">
        <f>VLOOKUP($C31,Items!$A$2:$AE$10014,4,FALSE)*A31</f>
        <v>0</v>
      </c>
      <c r="O31" s="9">
        <v>0</v>
      </c>
      <c r="P31" s="18">
        <f t="shared" si="14"/>
        <v>0</v>
      </c>
      <c r="Q31" s="16">
        <f t="shared" si="12"/>
        <v>15</v>
      </c>
      <c r="R31" s="61" t="str">
        <f>VLOOKUP($C31,Items!$A$2:$AE$10014,11,FALSE)</f>
        <v>Material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22"/>
      <c r="EC31" s="22"/>
      <c r="ED31" s="22"/>
      <c r="EE31" s="22"/>
      <c r="EF31" s="22"/>
      <c r="EG31" s="22"/>
      <c r="EH31" s="22"/>
      <c r="EI31" s="22"/>
      <c r="EJ31" s="22"/>
      <c r="EK31" s="22"/>
      <c r="EL31" s="22"/>
      <c r="EM31" s="22"/>
      <c r="EN31" s="22"/>
      <c r="EO31" s="22"/>
      <c r="EP31" s="22"/>
      <c r="EQ31" s="22"/>
      <c r="ER31" s="22"/>
    </row>
    <row r="32" spans="1:148" x14ac:dyDescent="0.25">
      <c r="A32" s="6">
        <f>0.0625*A26</f>
        <v>6.25E-2</v>
      </c>
      <c r="B32" s="7" t="str">
        <f>VLOOKUP($C32,Items!$A$2:$AE$10014,5,FALSE)</f>
        <v>ea</v>
      </c>
      <c r="C32" s="41" t="s">
        <v>29</v>
      </c>
      <c r="D32" s="6" t="s">
        <v>153</v>
      </c>
      <c r="E32" s="28">
        <f>VLOOKUP($C32,Items!$A$2:$AE$10014,6,FALSE)</f>
        <v>0</v>
      </c>
      <c r="F32" s="28">
        <f>VLOOKUP($C32,Items!$A$2:$AE$10014,7,FALSE)</f>
        <v>0</v>
      </c>
      <c r="G32" s="28">
        <f>VLOOKUP($C32,Items!$A$2:$AE$10014,8,FALSE)</f>
        <v>0</v>
      </c>
      <c r="H32" s="28">
        <f>IF(E32=0,+VLOOKUP($C32,Items!$A$2:$AE$10014,9,FALSE),+VLOOKUP($C32,Items!$A$2:$AE$10014,9,FALSE)*E32*F32*G32)</f>
        <v>0</v>
      </c>
      <c r="I32" s="29">
        <f>IF(E32=0,+VLOOKUP($C32,Items!$A$2:$AE$10014,10,FALSE)*A32,(A32*H32))</f>
        <v>3.125</v>
      </c>
      <c r="J32" s="8">
        <f>IF(E32=0,+VLOOKUP($C32,Items!$A$2:$AE$10014,3,FALSE),+VLOOKUP($C32,Items!$A$2:$AE$10014,3,FALSE)*H32)</f>
        <v>65</v>
      </c>
      <c r="K32" s="16">
        <f t="shared" si="10"/>
        <v>4.0625</v>
      </c>
      <c r="L32" s="36">
        <f t="shared" si="13"/>
        <v>0</v>
      </c>
      <c r="M32" s="16">
        <f t="shared" si="11"/>
        <v>0</v>
      </c>
      <c r="N32" s="17">
        <f>VLOOKUP($C32,Items!$A$2:$AE$10014,4,FALSE)*A32</f>
        <v>0</v>
      </c>
      <c r="O32" s="9">
        <v>0</v>
      </c>
      <c r="P32" s="18">
        <f t="shared" si="14"/>
        <v>0</v>
      </c>
      <c r="Q32" s="16">
        <f t="shared" si="12"/>
        <v>5</v>
      </c>
      <c r="R32" s="61" t="str">
        <f>VLOOKUP($C32,Items!$A$2:$AE$10014,11,FALSE)</f>
        <v>Material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22"/>
      <c r="DZ32" s="22"/>
      <c r="EA32" s="22"/>
      <c r="EB32" s="22"/>
      <c r="EC32" s="22"/>
      <c r="ED32" s="22"/>
      <c r="EE32" s="22"/>
      <c r="EF32" s="22"/>
      <c r="EG32" s="22"/>
      <c r="EH32" s="22"/>
      <c r="EI32" s="22"/>
      <c r="EJ32" s="22"/>
      <c r="EK32" s="22"/>
      <c r="EL32" s="22"/>
      <c r="EM32" s="22"/>
      <c r="EN32" s="22"/>
      <c r="EO32" s="22"/>
      <c r="EP32" s="22"/>
      <c r="EQ32" s="22"/>
      <c r="ER32" s="22"/>
    </row>
    <row r="33" spans="1:148" x14ac:dyDescent="0.25">
      <c r="A33" s="6">
        <f>0.0625*A26</f>
        <v>6.25E-2</v>
      </c>
      <c r="B33" s="7" t="str">
        <f>VLOOKUP($C33,Items!$A$2:$AE$10014,5,FALSE)</f>
        <v>ea</v>
      </c>
      <c r="C33" s="41" t="s">
        <v>50</v>
      </c>
      <c r="D33" s="6" t="s">
        <v>154</v>
      </c>
      <c r="E33" s="28">
        <f>VLOOKUP($C33,Items!$A$2:$AE$10014,6,FALSE)</f>
        <v>0</v>
      </c>
      <c r="F33" s="28">
        <f>VLOOKUP($C33,Items!$A$2:$AE$10014,7,FALSE)</f>
        <v>0</v>
      </c>
      <c r="G33" s="28">
        <f>VLOOKUP($C33,Items!$A$2:$AE$10014,8,FALSE)</f>
        <v>0</v>
      </c>
      <c r="H33" s="28">
        <f>IF(E33=0,+VLOOKUP($C33,Items!$A$2:$AE$10014,9,FALSE),+VLOOKUP($C33,Items!$A$2:$AE$10014,9,FALSE)*E33*F33*G33)</f>
        <v>0</v>
      </c>
      <c r="I33" s="29">
        <f>IF(E33=0,+VLOOKUP($C33,Items!$A$2:$AE$10014,10,FALSE)*A33,(A33*H33))</f>
        <v>0</v>
      </c>
      <c r="J33" s="8">
        <f>IF(E33=0,+VLOOKUP($C33,Items!$A$2:$AE$10014,3,FALSE),+VLOOKUP($C33,Items!$A$2:$AE$10014,3,FALSE)*H33)</f>
        <v>30</v>
      </c>
      <c r="K33" s="16">
        <f t="shared" si="10"/>
        <v>1.875</v>
      </c>
      <c r="L33" s="36">
        <f t="shared" si="13"/>
        <v>0</v>
      </c>
      <c r="M33" s="16">
        <f t="shared" si="11"/>
        <v>0</v>
      </c>
      <c r="N33" s="17">
        <f>VLOOKUP($C33,Items!$A$2:$AE$10014,4,FALSE)*A33</f>
        <v>0</v>
      </c>
      <c r="O33" s="9">
        <v>0</v>
      </c>
      <c r="P33" s="18">
        <f t="shared" si="14"/>
        <v>0</v>
      </c>
      <c r="Q33" s="16">
        <f t="shared" si="12"/>
        <v>2</v>
      </c>
      <c r="R33" s="61" t="str">
        <f>VLOOKUP($C33,Items!$A$2:$AE$10014,11,FALSE)</f>
        <v>Material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</row>
    <row r="37" spans="1:148" ht="15.75" x14ac:dyDescent="0.25">
      <c r="A37" s="74">
        <v>1</v>
      </c>
      <c r="B37" s="74" t="s">
        <v>0</v>
      </c>
      <c r="C37" s="75" t="s">
        <v>261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V37" s="22"/>
      <c r="DW37" s="22"/>
      <c r="DX37" s="22"/>
      <c r="DY37" s="22"/>
      <c r="DZ37" s="22"/>
      <c r="EA37" s="22"/>
      <c r="EB37" s="22"/>
      <c r="EC37" s="22"/>
      <c r="ED37" s="22"/>
      <c r="EE37" s="22"/>
      <c r="EF37" s="22"/>
      <c r="EG37" s="22"/>
      <c r="EH37" s="22"/>
      <c r="EI37" s="22"/>
      <c r="EJ37" s="22"/>
      <c r="EK37" s="22"/>
      <c r="EL37" s="22"/>
      <c r="EM37" s="22"/>
      <c r="EN37" s="22"/>
      <c r="EO37" s="22"/>
      <c r="EP37" s="22"/>
      <c r="EQ37" s="22"/>
      <c r="ER37" s="22"/>
    </row>
    <row r="38" spans="1:148" ht="39" x14ac:dyDescent="0.25">
      <c r="A38" s="1" t="s">
        <v>7</v>
      </c>
      <c r="B38" s="1" t="s">
        <v>3</v>
      </c>
      <c r="C38" s="1" t="s">
        <v>10</v>
      </c>
      <c r="D38" s="1" t="s">
        <v>4</v>
      </c>
      <c r="E38" s="3" t="s">
        <v>21</v>
      </c>
      <c r="F38" s="3" t="s">
        <v>26</v>
      </c>
      <c r="G38" s="3" t="s">
        <v>27</v>
      </c>
      <c r="H38" s="3" t="s">
        <v>145</v>
      </c>
      <c r="I38" s="3" t="s">
        <v>23</v>
      </c>
      <c r="J38" s="3" t="s">
        <v>146</v>
      </c>
      <c r="K38" s="3" t="s">
        <v>15</v>
      </c>
      <c r="L38" s="3" t="s">
        <v>8</v>
      </c>
      <c r="M38" s="3" t="s">
        <v>5</v>
      </c>
      <c r="N38" s="3" t="s">
        <v>11</v>
      </c>
      <c r="O38" s="3" t="s">
        <v>2</v>
      </c>
      <c r="P38" s="1" t="s">
        <v>1</v>
      </c>
      <c r="Q38" s="3" t="s">
        <v>6</v>
      </c>
      <c r="R38" s="3" t="s">
        <v>18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V38" s="22"/>
      <c r="DW38" s="22"/>
      <c r="DX38" s="22"/>
      <c r="DY38" s="22"/>
      <c r="DZ38" s="22"/>
      <c r="EA38" s="22"/>
      <c r="EB38" s="22"/>
      <c r="EC38" s="22"/>
      <c r="ED38" s="22"/>
      <c r="EE38" s="22"/>
      <c r="EF38" s="22"/>
      <c r="EG38" s="22"/>
      <c r="EH38" s="22"/>
      <c r="EI38" s="22"/>
      <c r="EJ38" s="22"/>
      <c r="EK38" s="22"/>
      <c r="EL38" s="22"/>
      <c r="EM38" s="22"/>
      <c r="EN38" s="22"/>
      <c r="EO38" s="22"/>
      <c r="EP38" s="22"/>
      <c r="EQ38" s="22"/>
      <c r="ER38" s="22"/>
    </row>
    <row r="39" spans="1:148" x14ac:dyDescent="0.25">
      <c r="A39" s="6">
        <f>1*A37</f>
        <v>1</v>
      </c>
      <c r="B39" s="7" t="str">
        <f>VLOOKUP($C39,Items!$A$2:$AE$10014,5,FALSE)</f>
        <v>ea</v>
      </c>
      <c r="C39" s="41" t="s">
        <v>42</v>
      </c>
      <c r="D39" s="6"/>
      <c r="E39" s="28">
        <v>49</v>
      </c>
      <c r="F39" s="28">
        <v>84</v>
      </c>
      <c r="G39" s="28">
        <v>2.0000000000000001E-4</v>
      </c>
      <c r="H39" s="28">
        <f>IF(E39=0,+VLOOKUP($C39,Items!$A$2:$AE$10014,9,FALSE),+VLOOKUP($C39,Items!$A$2:$AE$10014,9,FALSE)*E39*F39*G39)</f>
        <v>0.34300274400000003</v>
      </c>
      <c r="I39" s="29">
        <f>IF(E39=0,+VLOOKUP($C39,Items!$A$2:$AE$10014,10,FALSE)*A39,(A39*H39))</f>
        <v>0.34300274400000003</v>
      </c>
      <c r="J39" s="8">
        <f>IF(E39=0,+VLOOKUP($C39,Items!$A$2:$AE$10014,3,FALSE),+VLOOKUP($C39,Items!$A$2:$AE$10014,3,FALSE)*H39)</f>
        <v>0.60025480200000003</v>
      </c>
      <c r="K39" s="16">
        <f t="shared" ref="K39:K44" si="15">A39*J39</f>
        <v>0.60025480200000003</v>
      </c>
      <c r="L39" s="36">
        <f>IF(R39="Labor",$D$2,$D$3)</f>
        <v>0</v>
      </c>
      <c r="M39" s="16">
        <f t="shared" ref="M39:M44" si="16">K39*L39</f>
        <v>0</v>
      </c>
      <c r="N39" s="17">
        <f>VLOOKUP($C39,Items!$A$2:$AE$10014,4,FALSE)*A39</f>
        <v>0</v>
      </c>
      <c r="O39" s="9">
        <v>0</v>
      </c>
      <c r="P39" s="18">
        <f>IF(O39=1,(K39+M39)*($D$1),0)</f>
        <v>0</v>
      </c>
      <c r="Q39" s="16">
        <f t="shared" ref="Q39:Q44" si="17">ROUNDUP(K39+M39+N39+P39,0)</f>
        <v>1</v>
      </c>
      <c r="R39" s="61" t="str">
        <f>VLOOKUP($C39,Items!$A$2:$AE$10014,11,FALSE)</f>
        <v>Material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V39" s="22"/>
      <c r="DW39" s="22"/>
      <c r="DX39" s="22"/>
      <c r="DY39" s="22"/>
      <c r="DZ39" s="22"/>
      <c r="EA39" s="22"/>
      <c r="EB39" s="22"/>
      <c r="EC39" s="22"/>
      <c r="ED39" s="22"/>
      <c r="EE39" s="22"/>
      <c r="EF39" s="22"/>
      <c r="EG39" s="22"/>
      <c r="EH39" s="22"/>
      <c r="EI39" s="22"/>
      <c r="EJ39" s="22"/>
      <c r="EK39" s="22"/>
      <c r="EL39" s="22"/>
      <c r="EM39" s="22"/>
      <c r="EN39" s="22"/>
      <c r="EO39" s="22"/>
      <c r="EP39" s="22"/>
      <c r="EQ39" s="22"/>
      <c r="ER39" s="22"/>
    </row>
    <row r="40" spans="1:148" x14ac:dyDescent="0.25">
      <c r="A40" s="6">
        <f>0.3333*A37</f>
        <v>0.33329999999999999</v>
      </c>
      <c r="B40" s="7" t="str">
        <f>VLOOKUP($C40,Items!$A$2:$AE$10014,5,FALSE)</f>
        <v>ea</v>
      </c>
      <c r="C40" s="41" t="s">
        <v>240</v>
      </c>
      <c r="D40" s="6" t="s">
        <v>238</v>
      </c>
      <c r="E40" s="28">
        <f>VLOOKUP($C40,Items!$A$2:$AE$10014,6,FALSE)</f>
        <v>48</v>
      </c>
      <c r="F40" s="28">
        <f>VLOOKUP($C40,Items!$A$2:$AE$10014,7,FALSE)</f>
        <v>96</v>
      </c>
      <c r="G40" s="28">
        <f>VLOOKUP($C40,Items!$A$2:$AE$10014,8,FALSE)</f>
        <v>0.75</v>
      </c>
      <c r="H40" s="28">
        <f>IF(E40=0,+VLOOKUP($C40,Items!$A$2:$AE$10014,9,FALSE),+VLOOKUP($C40,Items!$A$2:$AE$10014,9,FALSE)*E40*F40*G40)</f>
        <v>69.5996928</v>
      </c>
      <c r="I40" s="29">
        <f>IF(E40=0,+VLOOKUP($C40,Items!$A$2:$AE$10014,10,FALSE)*A40,(A40*H40))</f>
        <v>23.19757761024</v>
      </c>
      <c r="J40" s="8">
        <f>IF(E40=0,+VLOOKUP($C40,Items!$A$2:$AE$10014,3,FALSE),+VLOOKUP($C40,Items!$A$2:$AE$10014,3,FALSE)*H40)</f>
        <v>86.999616000000003</v>
      </c>
      <c r="K40" s="16">
        <f t="shared" si="15"/>
        <v>28.996972012800001</v>
      </c>
      <c r="L40" s="36">
        <f t="shared" ref="L40:L44" si="18">IF(R40="Labor",$D$2,$D$3)</f>
        <v>0</v>
      </c>
      <c r="M40" s="16">
        <f t="shared" si="16"/>
        <v>0</v>
      </c>
      <c r="N40" s="17">
        <f>VLOOKUP($C40,Items!$A$2:$AE$10014,4,FALSE)*A40</f>
        <v>0</v>
      </c>
      <c r="O40" s="9">
        <v>0</v>
      </c>
      <c r="P40" s="18">
        <f t="shared" ref="P40:P44" si="19">IF(O40=1,(K40+M40)*($D$1),0)</f>
        <v>0</v>
      </c>
      <c r="Q40" s="16">
        <f t="shared" si="17"/>
        <v>29</v>
      </c>
      <c r="R40" s="61" t="str">
        <f>VLOOKUP($C40,Items!$A$2:$AE$10014,11,FALSE)</f>
        <v>Material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22"/>
      <c r="EC40" s="22"/>
      <c r="ED40" s="22"/>
      <c r="EE40" s="22"/>
      <c r="EF40" s="22"/>
      <c r="EG40" s="22"/>
      <c r="EH40" s="22"/>
      <c r="EI40" s="22"/>
      <c r="EJ40" s="22"/>
      <c r="EK40" s="22"/>
      <c r="EL40" s="22"/>
      <c r="EM40" s="22"/>
      <c r="EN40" s="22"/>
      <c r="EO40" s="22"/>
      <c r="EP40" s="22"/>
      <c r="EQ40" s="22"/>
      <c r="ER40" s="22"/>
    </row>
    <row r="41" spans="1:148" x14ac:dyDescent="0.25">
      <c r="A41" s="6">
        <f>0.25*A37</f>
        <v>0.25</v>
      </c>
      <c r="B41" s="7" t="str">
        <f>VLOOKUP($C41,Items!$A$2:$AE$10014,5,FALSE)</f>
        <v>mh</v>
      </c>
      <c r="C41" s="41" t="s">
        <v>46</v>
      </c>
      <c r="D41" s="6" t="s">
        <v>152</v>
      </c>
      <c r="E41" s="28">
        <f>VLOOKUP($C41,Items!$A$2:$AE$10014,6,FALSE)</f>
        <v>0</v>
      </c>
      <c r="F41" s="28">
        <f>VLOOKUP($C41,Items!$A$2:$AE$10014,7,FALSE)</f>
        <v>0</v>
      </c>
      <c r="G41" s="28">
        <f>VLOOKUP($C41,Items!$A$2:$AE$10014,8,FALSE)</f>
        <v>0</v>
      </c>
      <c r="H41" s="28">
        <f>IF(E41=0,+VLOOKUP($C41,Items!$A$2:$AE$10014,9,FALSE),+VLOOKUP($C41,Items!$A$2:$AE$10014,9,FALSE)*E41*F41*G41)</f>
        <v>0</v>
      </c>
      <c r="I41" s="29">
        <f>IF(E41=0,+VLOOKUP($C41,Items!$A$2:$AE$10014,10,FALSE)*A41,(A41*H41))</f>
        <v>0</v>
      </c>
      <c r="J41" s="8">
        <f>IF(E41=0,+VLOOKUP($C41,Items!$A$2:$AE$10014,3,FALSE),+VLOOKUP($C41,Items!$A$2:$AE$10014,3,FALSE)*H41)</f>
        <v>38</v>
      </c>
      <c r="K41" s="16">
        <f t="shared" si="15"/>
        <v>9.5</v>
      </c>
      <c r="L41" s="36">
        <f t="shared" si="18"/>
        <v>0</v>
      </c>
      <c r="M41" s="16">
        <f t="shared" si="16"/>
        <v>0</v>
      </c>
      <c r="N41" s="17">
        <f>VLOOKUP($C41,Items!$A$2:$AE$10014,4,FALSE)*A41</f>
        <v>4</v>
      </c>
      <c r="O41" s="9">
        <v>0</v>
      </c>
      <c r="P41" s="18">
        <f t="shared" si="19"/>
        <v>0</v>
      </c>
      <c r="Q41" s="16">
        <f t="shared" si="17"/>
        <v>14</v>
      </c>
      <c r="R41" s="61" t="str">
        <f>VLOOKUP($C41,Items!$A$2:$AE$10014,11,FALSE)</f>
        <v>Labor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/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V41" s="22"/>
      <c r="DW41" s="22"/>
      <c r="DX41" s="22"/>
      <c r="DY41" s="22"/>
      <c r="DZ41" s="22"/>
      <c r="EA41" s="22"/>
      <c r="EB41" s="22"/>
      <c r="EC41" s="22"/>
      <c r="ED41" s="22"/>
      <c r="EE41" s="22"/>
      <c r="EF41" s="22"/>
      <c r="EG41" s="22"/>
      <c r="EH41" s="22"/>
      <c r="EI41" s="22"/>
      <c r="EJ41" s="22"/>
      <c r="EK41" s="22"/>
      <c r="EL41" s="22"/>
      <c r="EM41" s="22"/>
      <c r="EN41" s="22"/>
      <c r="EO41" s="22"/>
      <c r="EP41" s="22"/>
      <c r="EQ41" s="22"/>
      <c r="ER41" s="22"/>
    </row>
    <row r="42" spans="1:148" x14ac:dyDescent="0.25">
      <c r="A42" s="6">
        <f>0.033*A37</f>
        <v>3.3000000000000002E-2</v>
      </c>
      <c r="B42" s="7" t="str">
        <f>VLOOKUP($C42,Items!$A$2:$AE$10014,5,FALSE)</f>
        <v>can</v>
      </c>
      <c r="C42" s="41" t="s">
        <v>53</v>
      </c>
      <c r="D42" s="6" t="str">
        <f>VLOOKUP($C42,Items!$A$2:$AE$10014,2,FALSE)</f>
        <v>Bond Rite Adhesive</v>
      </c>
      <c r="E42" s="28">
        <f>VLOOKUP($C42,Items!$A$2:$AE$10014,6,FALSE)</f>
        <v>0</v>
      </c>
      <c r="F42" s="28">
        <f>VLOOKUP($C42,Items!$A$2:$AE$10014,7,FALSE)</f>
        <v>0</v>
      </c>
      <c r="G42" s="28">
        <f>VLOOKUP($C42,Items!$A$2:$AE$10014,8,FALSE)</f>
        <v>0</v>
      </c>
      <c r="H42" s="28">
        <f>IF(E42=0,+VLOOKUP($C42,Items!$A$2:$AE$10014,9,FALSE),+VLOOKUP($C42,Items!$A$2:$AE$10014,9,FALSE)*E42*F42*G42)</f>
        <v>0</v>
      </c>
      <c r="I42" s="29">
        <f>IF(E42=0,+VLOOKUP($C42,Items!$A$2:$AE$10014,10,FALSE)*A42,(A42*H42))</f>
        <v>0</v>
      </c>
      <c r="J42" s="8">
        <f>IF(E42=0,+VLOOKUP($C42,Items!$A$2:$AE$10014,3,FALSE),+VLOOKUP($C42,Items!$A$2:$AE$10014,3,FALSE)*H42)</f>
        <v>425</v>
      </c>
      <c r="K42" s="16">
        <f t="shared" si="15"/>
        <v>14.025</v>
      </c>
      <c r="L42" s="36">
        <f t="shared" si="18"/>
        <v>0</v>
      </c>
      <c r="M42" s="16">
        <f t="shared" si="16"/>
        <v>0</v>
      </c>
      <c r="N42" s="17">
        <f>VLOOKUP($C42,Items!$A$2:$AE$10014,4,FALSE)*A42</f>
        <v>0</v>
      </c>
      <c r="O42" s="9">
        <v>0</v>
      </c>
      <c r="P42" s="18">
        <f t="shared" si="19"/>
        <v>0</v>
      </c>
      <c r="Q42" s="16">
        <f t="shared" si="17"/>
        <v>15</v>
      </c>
      <c r="R42" s="61" t="str">
        <f>VLOOKUP($C42,Items!$A$2:$AE$10014,11,FALSE)</f>
        <v>Material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22"/>
      <c r="EH42" s="22"/>
      <c r="EI42" s="22"/>
      <c r="EJ42" s="22"/>
      <c r="EK42" s="22"/>
      <c r="EL42" s="22"/>
      <c r="EM42" s="22"/>
      <c r="EN42" s="22"/>
      <c r="EO42" s="22"/>
      <c r="EP42" s="22"/>
      <c r="EQ42" s="22"/>
      <c r="ER42" s="22"/>
    </row>
    <row r="43" spans="1:148" x14ac:dyDescent="0.25">
      <c r="A43" s="6">
        <f>0.0625*A37</f>
        <v>6.25E-2</v>
      </c>
      <c r="B43" s="7" t="str">
        <f>VLOOKUP($C43,Items!$A$2:$AE$10014,5,FALSE)</f>
        <v>ea</v>
      </c>
      <c r="C43" s="41" t="s">
        <v>29</v>
      </c>
      <c r="D43" s="6" t="s">
        <v>153</v>
      </c>
      <c r="E43" s="28">
        <f>VLOOKUP($C43,Items!$A$2:$AE$10014,6,FALSE)</f>
        <v>0</v>
      </c>
      <c r="F43" s="28">
        <f>VLOOKUP($C43,Items!$A$2:$AE$10014,7,FALSE)</f>
        <v>0</v>
      </c>
      <c r="G43" s="28">
        <f>VLOOKUP($C43,Items!$A$2:$AE$10014,8,FALSE)</f>
        <v>0</v>
      </c>
      <c r="H43" s="28">
        <f>IF(E43=0,+VLOOKUP($C43,Items!$A$2:$AE$10014,9,FALSE),+VLOOKUP($C43,Items!$A$2:$AE$10014,9,FALSE)*E43*F43*G43)</f>
        <v>0</v>
      </c>
      <c r="I43" s="29">
        <f>IF(E43=0,+VLOOKUP($C43,Items!$A$2:$AE$10014,10,FALSE)*A43,(A43*H43))</f>
        <v>3.125</v>
      </c>
      <c r="J43" s="8">
        <f>IF(E43=0,+VLOOKUP($C43,Items!$A$2:$AE$10014,3,FALSE),+VLOOKUP($C43,Items!$A$2:$AE$10014,3,FALSE)*H43)</f>
        <v>65</v>
      </c>
      <c r="K43" s="16">
        <f t="shared" si="15"/>
        <v>4.0625</v>
      </c>
      <c r="L43" s="36">
        <f t="shared" si="18"/>
        <v>0</v>
      </c>
      <c r="M43" s="16">
        <f t="shared" si="16"/>
        <v>0</v>
      </c>
      <c r="N43" s="17">
        <f>VLOOKUP($C43,Items!$A$2:$AE$10014,4,FALSE)*A43</f>
        <v>0</v>
      </c>
      <c r="O43" s="9">
        <v>0</v>
      </c>
      <c r="P43" s="18">
        <f t="shared" si="19"/>
        <v>0</v>
      </c>
      <c r="Q43" s="16">
        <f t="shared" si="17"/>
        <v>5</v>
      </c>
      <c r="R43" s="61" t="str">
        <f>VLOOKUP($C43,Items!$A$2:$AE$10014,11,FALSE)</f>
        <v>Material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D43" s="22"/>
      <c r="EE43" s="22"/>
      <c r="EF43" s="22"/>
      <c r="EG43" s="22"/>
      <c r="EH43" s="22"/>
      <c r="EI43" s="22"/>
      <c r="EJ43" s="22"/>
      <c r="EK43" s="22"/>
      <c r="EL43" s="22"/>
      <c r="EM43" s="22"/>
      <c r="EN43" s="22"/>
      <c r="EO43" s="22"/>
      <c r="EP43" s="22"/>
      <c r="EQ43" s="22"/>
      <c r="ER43" s="22"/>
    </row>
    <row r="44" spans="1:148" x14ac:dyDescent="0.25">
      <c r="A44" s="6">
        <f>0.0625*A37</f>
        <v>6.25E-2</v>
      </c>
      <c r="B44" s="7" t="str">
        <f>VLOOKUP($C44,Items!$A$2:$AE$10014,5,FALSE)</f>
        <v>ea</v>
      </c>
      <c r="C44" s="41" t="s">
        <v>50</v>
      </c>
      <c r="D44" s="6" t="s">
        <v>154</v>
      </c>
      <c r="E44" s="28">
        <f>VLOOKUP($C44,Items!$A$2:$AE$10014,6,FALSE)</f>
        <v>0</v>
      </c>
      <c r="F44" s="28">
        <f>VLOOKUP($C44,Items!$A$2:$AE$10014,7,FALSE)</f>
        <v>0</v>
      </c>
      <c r="G44" s="28">
        <f>VLOOKUP($C44,Items!$A$2:$AE$10014,8,FALSE)</f>
        <v>0</v>
      </c>
      <c r="H44" s="28">
        <f>IF(E44=0,+VLOOKUP($C44,Items!$A$2:$AE$10014,9,FALSE),+VLOOKUP($C44,Items!$A$2:$AE$10014,9,FALSE)*E44*F44*G44)</f>
        <v>0</v>
      </c>
      <c r="I44" s="29">
        <f>IF(E44=0,+VLOOKUP($C44,Items!$A$2:$AE$10014,10,FALSE)*A44,(A44*H44))</f>
        <v>0</v>
      </c>
      <c r="J44" s="8">
        <f>IF(E44=0,+VLOOKUP($C44,Items!$A$2:$AE$10014,3,FALSE),+VLOOKUP($C44,Items!$A$2:$AE$10014,3,FALSE)*H44)</f>
        <v>30</v>
      </c>
      <c r="K44" s="16">
        <f t="shared" si="15"/>
        <v>1.875</v>
      </c>
      <c r="L44" s="36">
        <f t="shared" si="18"/>
        <v>0</v>
      </c>
      <c r="M44" s="16">
        <f t="shared" si="16"/>
        <v>0</v>
      </c>
      <c r="N44" s="17">
        <f>VLOOKUP($C44,Items!$A$2:$AE$10014,4,FALSE)*A44</f>
        <v>0</v>
      </c>
      <c r="O44" s="9">
        <v>0</v>
      </c>
      <c r="P44" s="18">
        <f t="shared" si="19"/>
        <v>0</v>
      </c>
      <c r="Q44" s="16">
        <f t="shared" si="17"/>
        <v>2</v>
      </c>
      <c r="R44" s="61" t="str">
        <f>VLOOKUP($C44,Items!$A$2:$AE$10014,11,FALSE)</f>
        <v>Material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V44" s="22"/>
      <c r="DW44" s="22"/>
      <c r="DX44" s="22"/>
      <c r="DY44" s="22"/>
      <c r="DZ44" s="22"/>
      <c r="EA44" s="22"/>
      <c r="EB44" s="22"/>
      <c r="EC44" s="22"/>
      <c r="ED44" s="22"/>
      <c r="EE44" s="22"/>
      <c r="EF44" s="22"/>
      <c r="EG44" s="22"/>
      <c r="EH44" s="22"/>
      <c r="EI44" s="22"/>
      <c r="EJ44" s="22"/>
      <c r="EK44" s="22"/>
      <c r="EL44" s="22"/>
      <c r="EM44" s="22"/>
      <c r="EN44" s="22"/>
      <c r="EO44" s="22"/>
      <c r="EP44" s="22"/>
      <c r="EQ44" s="22"/>
      <c r="ER44" s="22"/>
    </row>
  </sheetData>
  <conditionalFormatting sqref="E6:G11">
    <cfRule type="cellIs" dxfId="145" priority="24" operator="lessThanOrEqual">
      <formula>0.0001</formula>
    </cfRule>
  </conditionalFormatting>
  <conditionalFormatting sqref="B6:B11">
    <cfRule type="cellIs" dxfId="144" priority="23" operator="equal">
      <formula>0</formula>
    </cfRule>
  </conditionalFormatting>
  <conditionalFormatting sqref="D6:D11">
    <cfRule type="cellIs" dxfId="143" priority="22" operator="equal">
      <formula>0</formula>
    </cfRule>
  </conditionalFormatting>
  <conditionalFormatting sqref="H6 H7:I11">
    <cfRule type="cellIs" dxfId="142" priority="21" operator="equal">
      <formula>$E6</formula>
    </cfRule>
  </conditionalFormatting>
  <conditionalFormatting sqref="I6">
    <cfRule type="cellIs" dxfId="141" priority="20" operator="equal">
      <formula>$E6</formula>
    </cfRule>
  </conditionalFormatting>
  <conditionalFormatting sqref="R6:R11">
    <cfRule type="cellIs" dxfId="140" priority="19" operator="lessThanOrEqual">
      <formula>0.001</formula>
    </cfRule>
  </conditionalFormatting>
  <conditionalFormatting sqref="E17:G22">
    <cfRule type="cellIs" dxfId="139" priority="18" operator="lessThanOrEqual">
      <formula>0.0001</formula>
    </cfRule>
  </conditionalFormatting>
  <conditionalFormatting sqref="B17:B22">
    <cfRule type="cellIs" dxfId="138" priority="17" operator="equal">
      <formula>0</formula>
    </cfRule>
  </conditionalFormatting>
  <conditionalFormatting sqref="D17:D22">
    <cfRule type="cellIs" dxfId="137" priority="16" operator="equal">
      <formula>0</formula>
    </cfRule>
  </conditionalFormatting>
  <conditionalFormatting sqref="H17 H18:I22">
    <cfRule type="cellIs" dxfId="136" priority="15" operator="equal">
      <formula>$E17</formula>
    </cfRule>
  </conditionalFormatting>
  <conditionalFormatting sqref="I17">
    <cfRule type="cellIs" dxfId="135" priority="14" operator="equal">
      <formula>$E17</formula>
    </cfRule>
  </conditionalFormatting>
  <conditionalFormatting sqref="R17:R22">
    <cfRule type="cellIs" dxfId="134" priority="13" operator="lessThanOrEqual">
      <formula>0.001</formula>
    </cfRule>
  </conditionalFormatting>
  <conditionalFormatting sqref="E28:G33">
    <cfRule type="cellIs" dxfId="133" priority="12" operator="lessThanOrEqual">
      <formula>0.0001</formula>
    </cfRule>
  </conditionalFormatting>
  <conditionalFormatting sqref="B28:B33">
    <cfRule type="cellIs" dxfId="132" priority="11" operator="equal">
      <formula>0</formula>
    </cfRule>
  </conditionalFormatting>
  <conditionalFormatting sqref="D28:D33">
    <cfRule type="cellIs" dxfId="131" priority="10" operator="equal">
      <formula>0</formula>
    </cfRule>
  </conditionalFormatting>
  <conditionalFormatting sqref="H28 H29:I33">
    <cfRule type="cellIs" dxfId="130" priority="9" operator="equal">
      <formula>$E28</formula>
    </cfRule>
  </conditionalFormatting>
  <conditionalFormatting sqref="I28">
    <cfRule type="cellIs" dxfId="129" priority="8" operator="equal">
      <formula>$E28</formula>
    </cfRule>
  </conditionalFormatting>
  <conditionalFormatting sqref="R28:R33">
    <cfRule type="cellIs" dxfId="128" priority="7" operator="lessThanOrEqual">
      <formula>0.001</formula>
    </cfRule>
  </conditionalFormatting>
  <conditionalFormatting sqref="E39:G44">
    <cfRule type="cellIs" dxfId="127" priority="6" operator="lessThanOrEqual">
      <formula>0.0001</formula>
    </cfRule>
  </conditionalFormatting>
  <conditionalFormatting sqref="B39:B44">
    <cfRule type="cellIs" dxfId="126" priority="5" operator="equal">
      <formula>0</formula>
    </cfRule>
  </conditionalFormatting>
  <conditionalFormatting sqref="D39:D44">
    <cfRule type="cellIs" dxfId="125" priority="4" operator="equal">
      <formula>0</formula>
    </cfRule>
  </conditionalFormatting>
  <conditionalFormatting sqref="H39 H40:I44">
    <cfRule type="cellIs" dxfId="124" priority="3" operator="equal">
      <formula>$E39</formula>
    </cfRule>
  </conditionalFormatting>
  <conditionalFormatting sqref="I39">
    <cfRule type="cellIs" dxfId="123" priority="2" operator="equal">
      <formula>$E39</formula>
    </cfRule>
  </conditionalFormatting>
  <conditionalFormatting sqref="R39:R44">
    <cfRule type="cellIs" dxfId="122" priority="1" operator="lessThanOrEqual">
      <formula>0.001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5493C7E-0DBF-48D4-9E50-B197DC215521}">
          <x14:formula1>
            <xm:f>Items!A28:A100036</xm:f>
          </x14:formula1>
          <xm:sqref>C39:C44 C28:C33</xm:sqref>
        </x14:dataValidation>
        <x14:dataValidation type="list" allowBlank="1" showInputMessage="1" showErrorMessage="1" xr:uid="{F124CCA7-A0E9-4B1E-996D-9133E42F2FE5}">
          <x14:formula1>
            <xm:f>Items!A16:A100025</xm:f>
          </x14:formula1>
          <xm:sqref>C17:C22</xm:sqref>
        </x14:dataValidation>
        <x14:dataValidation type="list" allowBlank="1" showInputMessage="1" showErrorMessage="1" xr:uid="{FD65BC96-2C7C-40AA-8254-57EA43913C99}">
          <x14:formula1>
            <xm:f>Items!A2:A100014</xm:f>
          </x14:formula1>
          <xm:sqref>C6:C11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ER45"/>
  <sheetViews>
    <sheetView topLeftCell="A22" workbookViewId="0">
      <selection activeCell="K40" sqref="K40:K46"/>
    </sheetView>
  </sheetViews>
  <sheetFormatPr defaultRowHeight="15" x14ac:dyDescent="0.25"/>
  <cols>
    <col min="1" max="1" width="7" bestFit="1" customWidth="1"/>
    <col min="2" max="2" width="4.5703125" bestFit="1" customWidth="1"/>
    <col min="3" max="3" width="45" bestFit="1" customWidth="1"/>
    <col min="4" max="4" width="28.42578125" bestFit="1" customWidth="1"/>
    <col min="11" max="11" width="10.28515625" bestFit="1" customWidth="1"/>
    <col min="16" max="16" width="12" bestFit="1" customWidth="1"/>
    <col min="17" max="17" width="10.28515625" bestFit="1" customWidth="1"/>
  </cols>
  <sheetData>
    <row r="1" spans="1:148" x14ac:dyDescent="0.25"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2"/>
      <c r="DL1" s="22"/>
      <c r="DM1" s="22"/>
      <c r="DN1" s="22"/>
      <c r="DO1" s="22"/>
      <c r="DP1" s="22"/>
      <c r="DQ1" s="22"/>
      <c r="DR1" s="22"/>
      <c r="DS1" s="22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2"/>
      <c r="ER1" s="22"/>
    </row>
    <row r="2" spans="1:148" x14ac:dyDescent="0.25"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2"/>
      <c r="CL2" s="22"/>
      <c r="CM2" s="22"/>
      <c r="CN2" s="22"/>
      <c r="CO2" s="22"/>
      <c r="CP2" s="22"/>
      <c r="CQ2" s="22"/>
      <c r="CR2" s="22"/>
      <c r="CS2" s="22"/>
      <c r="CT2" s="22"/>
      <c r="CU2" s="22"/>
      <c r="CV2" s="22"/>
      <c r="CW2" s="22"/>
      <c r="CX2" s="22"/>
      <c r="CY2" s="22"/>
      <c r="CZ2" s="22"/>
      <c r="DA2" s="22"/>
      <c r="DB2" s="22"/>
      <c r="DC2" s="22"/>
      <c r="DD2" s="22"/>
      <c r="DE2" s="22"/>
      <c r="DF2" s="22"/>
      <c r="DG2" s="22"/>
      <c r="DH2" s="22"/>
      <c r="DI2" s="22"/>
      <c r="DJ2" s="22"/>
      <c r="DK2" s="22"/>
      <c r="DL2" s="22"/>
      <c r="DM2" s="22"/>
      <c r="DN2" s="22"/>
      <c r="DO2" s="22"/>
      <c r="DP2" s="22"/>
      <c r="DQ2" s="22"/>
      <c r="DR2" s="22"/>
      <c r="DS2" s="22"/>
      <c r="DT2" s="22"/>
      <c r="DU2" s="22"/>
      <c r="DV2" s="22"/>
      <c r="DW2" s="22"/>
      <c r="DX2" s="22"/>
      <c r="DY2" s="22"/>
      <c r="DZ2" s="22"/>
      <c r="EA2" s="22"/>
      <c r="EB2" s="22"/>
      <c r="EC2" s="22"/>
      <c r="ED2" s="22"/>
      <c r="EE2" s="22"/>
      <c r="EF2" s="22"/>
      <c r="EG2" s="22"/>
      <c r="EH2" s="22"/>
      <c r="EI2" s="22"/>
      <c r="EJ2" s="22"/>
      <c r="EK2" s="22"/>
      <c r="EL2" s="22"/>
      <c r="EM2" s="22"/>
      <c r="EN2" s="22"/>
      <c r="EO2" s="22"/>
      <c r="EP2" s="22"/>
      <c r="EQ2" s="22"/>
      <c r="ER2" s="22"/>
    </row>
    <row r="3" spans="1:148" x14ac:dyDescent="0.25"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  <c r="CZ3" s="22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2"/>
      <c r="EF3" s="22"/>
      <c r="EG3" s="22"/>
      <c r="EH3" s="22"/>
      <c r="EI3" s="22"/>
      <c r="EJ3" s="22"/>
      <c r="EK3" s="22"/>
      <c r="EL3" s="22"/>
      <c r="EM3" s="22"/>
      <c r="EN3" s="22"/>
      <c r="EO3" s="22"/>
      <c r="EP3" s="22"/>
      <c r="EQ3" s="22"/>
      <c r="ER3" s="22"/>
    </row>
    <row r="4" spans="1:148" ht="15.75" x14ac:dyDescent="0.25">
      <c r="A4" s="74">
        <v>1</v>
      </c>
      <c r="B4" s="74" t="s">
        <v>0</v>
      </c>
      <c r="C4" s="75" t="s">
        <v>241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  <c r="DW4" s="22"/>
      <c r="DX4" s="22"/>
      <c r="DY4" s="22"/>
      <c r="DZ4" s="22"/>
      <c r="EA4" s="22"/>
      <c r="EB4" s="22"/>
      <c r="EC4" s="22"/>
      <c r="ED4" s="22"/>
      <c r="EE4" s="22"/>
      <c r="EF4" s="22"/>
      <c r="EG4" s="22"/>
      <c r="EH4" s="22"/>
      <c r="EI4" s="22"/>
      <c r="EJ4" s="22"/>
      <c r="EK4" s="22"/>
      <c r="EL4" s="22"/>
      <c r="EM4" s="22"/>
      <c r="EN4" s="22"/>
      <c r="EO4" s="22"/>
      <c r="EP4" s="22"/>
      <c r="EQ4" s="22"/>
      <c r="ER4" s="22"/>
    </row>
    <row r="5" spans="1:148" ht="39" x14ac:dyDescent="0.25">
      <c r="A5" s="1" t="s">
        <v>7</v>
      </c>
      <c r="B5" s="1" t="s">
        <v>3</v>
      </c>
      <c r="C5" s="1" t="s">
        <v>10</v>
      </c>
      <c r="D5" s="1" t="s">
        <v>4</v>
      </c>
      <c r="E5" s="3" t="s">
        <v>21</v>
      </c>
      <c r="F5" s="3" t="s">
        <v>26</v>
      </c>
      <c r="G5" s="3" t="s">
        <v>27</v>
      </c>
      <c r="H5" s="3" t="s">
        <v>145</v>
      </c>
      <c r="I5" s="3" t="s">
        <v>23</v>
      </c>
      <c r="J5" s="3" t="s">
        <v>146</v>
      </c>
      <c r="K5" s="3" t="s">
        <v>15</v>
      </c>
      <c r="L5" s="3" t="s">
        <v>8</v>
      </c>
      <c r="M5" s="3" t="s">
        <v>5</v>
      </c>
      <c r="N5" s="3" t="s">
        <v>11</v>
      </c>
      <c r="O5" s="3" t="s">
        <v>2</v>
      </c>
      <c r="P5" s="1" t="s">
        <v>1</v>
      </c>
      <c r="Q5" s="3" t="s">
        <v>6</v>
      </c>
      <c r="R5" s="3" t="s">
        <v>18</v>
      </c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  <c r="CY5" s="22"/>
      <c r="CZ5" s="22"/>
      <c r="DA5" s="22"/>
      <c r="DB5" s="22"/>
      <c r="DC5" s="22"/>
      <c r="DD5" s="22"/>
      <c r="DE5" s="22"/>
      <c r="DF5" s="22"/>
      <c r="DG5" s="22"/>
      <c r="DH5" s="22"/>
      <c r="DI5" s="22"/>
      <c r="DJ5" s="22"/>
      <c r="DK5" s="22"/>
      <c r="DL5" s="22"/>
      <c r="DM5" s="22"/>
      <c r="DN5" s="22"/>
      <c r="DO5" s="22"/>
      <c r="DP5" s="22"/>
      <c r="DQ5" s="22"/>
      <c r="DR5" s="22"/>
      <c r="DS5" s="22"/>
      <c r="DT5" s="22"/>
      <c r="DU5" s="22"/>
      <c r="DV5" s="22"/>
      <c r="DW5" s="22"/>
      <c r="DX5" s="22"/>
      <c r="DY5" s="22"/>
      <c r="DZ5" s="22"/>
      <c r="EA5" s="22"/>
      <c r="EB5" s="22"/>
      <c r="EC5" s="22"/>
      <c r="ED5" s="22"/>
      <c r="EE5" s="22"/>
      <c r="EF5" s="22"/>
      <c r="EG5" s="22"/>
      <c r="EH5" s="22"/>
      <c r="EI5" s="22"/>
      <c r="EJ5" s="22"/>
      <c r="EK5" s="22"/>
      <c r="EL5" s="22"/>
      <c r="EM5" s="22"/>
      <c r="EN5" s="22"/>
      <c r="EO5" s="22"/>
      <c r="EP5" s="22"/>
      <c r="EQ5" s="22"/>
      <c r="ER5" s="22"/>
    </row>
    <row r="6" spans="1:148" x14ac:dyDescent="0.25">
      <c r="A6" s="6">
        <f>0.084*A4</f>
        <v>8.4000000000000005E-2</v>
      </c>
      <c r="B6" s="7" t="str">
        <f>VLOOKUP($C6,Items!$A$2:$AE$10014,5,FALSE)</f>
        <v>mh</v>
      </c>
      <c r="C6" s="41" t="s">
        <v>49</v>
      </c>
      <c r="D6" s="6" t="s">
        <v>242</v>
      </c>
      <c r="E6" s="28">
        <f>VLOOKUP($C6,Items!$A$2:$AE$10014,6,FALSE)</f>
        <v>0</v>
      </c>
      <c r="F6" s="28">
        <f>VLOOKUP($C6,Items!$A$2:$AE$10014,7,FALSE)</f>
        <v>0</v>
      </c>
      <c r="G6" s="28">
        <f>VLOOKUP($C6,Items!$A$2:$AE$10014,8,FALSE)</f>
        <v>0</v>
      </c>
      <c r="H6" s="28">
        <f>IF(E6=0,+VLOOKUP($C6,Items!$A$2:$AE$10014,9,FALSE),+VLOOKUP($C6,Items!$A$2:$AE$10014,9,FALSE)*E6*F6*G6)</f>
        <v>0</v>
      </c>
      <c r="I6" s="29">
        <f>IF(E6=0,+VLOOKUP($C6,Items!$A$2:$AE$10014,10,FALSE)*A6,(A6*H6))</f>
        <v>0</v>
      </c>
      <c r="J6" s="8">
        <f>IF(E6=0,+VLOOKUP($C6,Items!$A$2:$AE$10014,3,FALSE),+VLOOKUP($C6,Items!$A$2:$AE$10014,3,FALSE)*H6)</f>
        <v>40</v>
      </c>
      <c r="K6" s="16">
        <f t="shared" ref="K6:K9" si="0">A6*J6</f>
        <v>3.3600000000000003</v>
      </c>
      <c r="L6" s="36">
        <f>IF(R6="Labor",$D$2,$D$3)</f>
        <v>0</v>
      </c>
      <c r="M6" s="16">
        <f t="shared" ref="M6:M9" si="1">K6*L6</f>
        <v>0</v>
      </c>
      <c r="N6" s="17">
        <f>VLOOKUP($C6,Items!$A$2:$AE$10014,4,FALSE)*A6</f>
        <v>3.4440000000000004</v>
      </c>
      <c r="O6" s="9">
        <v>0</v>
      </c>
      <c r="P6" s="18">
        <f>IF(O6=1,(K6+M6)*($D$1),0)</f>
        <v>0</v>
      </c>
      <c r="Q6" s="16">
        <f t="shared" ref="Q6:Q9" si="2">ROUNDUP(K6+M6+N6+P6,0)</f>
        <v>7</v>
      </c>
      <c r="R6" s="61" t="str">
        <f>VLOOKUP($C6,Items!$A$2:$AE$10014,11,FALSE)</f>
        <v>Labor</v>
      </c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 s="22"/>
      <c r="DB6" s="22"/>
      <c r="DC6" s="22"/>
      <c r="DD6" s="22"/>
      <c r="DE6" s="22"/>
      <c r="DF6" s="22"/>
      <c r="DG6" s="22"/>
      <c r="DH6" s="22"/>
      <c r="DI6" s="22"/>
      <c r="DJ6" s="22"/>
      <c r="DK6" s="22"/>
      <c r="DL6" s="22"/>
      <c r="DM6" s="22"/>
      <c r="DN6" s="22"/>
      <c r="DO6" s="22"/>
      <c r="DP6" s="22"/>
      <c r="DQ6" s="22"/>
      <c r="DR6" s="22"/>
      <c r="DS6" s="22"/>
      <c r="DT6" s="22"/>
      <c r="DU6" s="22"/>
      <c r="DV6" s="22"/>
      <c r="DW6" s="22"/>
      <c r="DX6" s="22"/>
      <c r="DY6" s="22"/>
      <c r="DZ6" s="22"/>
      <c r="EA6" s="22"/>
      <c r="EB6" s="22"/>
      <c r="EC6" s="22"/>
      <c r="ED6" s="22"/>
      <c r="EE6" s="22"/>
      <c r="EF6" s="22"/>
      <c r="EG6" s="22"/>
      <c r="EH6" s="22"/>
      <c r="EI6" s="22"/>
      <c r="EJ6" s="22"/>
      <c r="EK6" s="22"/>
      <c r="EL6" s="22"/>
      <c r="EM6" s="22"/>
      <c r="EN6" s="22"/>
      <c r="EO6" s="22"/>
      <c r="EP6" s="22"/>
      <c r="EQ6" s="22"/>
      <c r="ER6" s="22"/>
    </row>
    <row r="7" spans="1:148" x14ac:dyDescent="0.25">
      <c r="A7" s="6">
        <f>1*A4</f>
        <v>1</v>
      </c>
      <c r="B7" s="7" t="str">
        <f>VLOOKUP($C7,Items!$A$2:$AE$10014,5,FALSE)</f>
        <v>ea</v>
      </c>
      <c r="C7" s="41" t="s">
        <v>104</v>
      </c>
      <c r="D7" s="6" t="s">
        <v>249</v>
      </c>
      <c r="E7" s="28">
        <f>VLOOKUP($C7,Items!$A$2:$AE$10014,6,FALSE)</f>
        <v>0</v>
      </c>
      <c r="F7" s="28">
        <f>VLOOKUP($C7,Items!$A$2:$AE$10014,7,FALSE)</f>
        <v>0</v>
      </c>
      <c r="G7" s="28">
        <f>VLOOKUP($C7,Items!$A$2:$AE$10014,8,FALSE)</f>
        <v>0</v>
      </c>
      <c r="H7" s="28">
        <f>IF(E7=0,+VLOOKUP($C7,Items!$A$2:$AE$10014,9,FALSE),+VLOOKUP($C7,Items!$A$2:$AE$10014,9,FALSE)*E7*F7*G7)</f>
        <v>0</v>
      </c>
      <c r="I7" s="29">
        <f>IF(E7=0,+VLOOKUP($C7,Items!$A$2:$AE$10014,10,FALSE)*A7,(A7*H7))</f>
        <v>0</v>
      </c>
      <c r="J7" s="8">
        <v>0.107</v>
      </c>
      <c r="K7" s="16">
        <f t="shared" si="0"/>
        <v>0.107</v>
      </c>
      <c r="L7" s="36">
        <f t="shared" ref="L7:L9" si="3">IF(R7="Labor",$D$2,$D$3)</f>
        <v>0</v>
      </c>
      <c r="M7" s="16">
        <f t="shared" si="1"/>
        <v>0</v>
      </c>
      <c r="N7" s="17">
        <f>VLOOKUP($C7,Items!$A$2:$AE$10014,4,FALSE)*A7</f>
        <v>0</v>
      </c>
      <c r="O7" s="9">
        <v>0</v>
      </c>
      <c r="P7" s="18">
        <f t="shared" ref="P7:P9" si="4">IF(O7=1,(K7+M7)*($D$1),0)</f>
        <v>0</v>
      </c>
      <c r="Q7" s="16">
        <f t="shared" si="2"/>
        <v>1</v>
      </c>
      <c r="R7" s="61" t="str">
        <f>VLOOKUP($C7,Items!$A$2:$AE$10014,11,FALSE)</f>
        <v>Material</v>
      </c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22"/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22"/>
      <c r="EL7" s="22"/>
      <c r="EM7" s="22"/>
      <c r="EN7" s="22"/>
      <c r="EO7" s="22"/>
      <c r="EP7" s="22"/>
      <c r="EQ7" s="22"/>
      <c r="ER7" s="22"/>
    </row>
    <row r="8" spans="1:148" x14ac:dyDescent="0.25">
      <c r="A8" s="6">
        <f>1*A4</f>
        <v>1</v>
      </c>
      <c r="B8" s="7" t="str">
        <f>VLOOKUP($C8,Items!$A$2:$AE$10014,5,FALSE)</f>
        <v>ea</v>
      </c>
      <c r="C8" s="41" t="s">
        <v>64</v>
      </c>
      <c r="D8" s="6" t="s">
        <v>250</v>
      </c>
      <c r="E8" s="28">
        <f>VLOOKUP($C8,Items!$A$2:$AE$10014,6,FALSE)</f>
        <v>0</v>
      </c>
      <c r="F8" s="28">
        <f>VLOOKUP($C8,Items!$A$2:$AE$10014,7,FALSE)</f>
        <v>0</v>
      </c>
      <c r="G8" s="28">
        <f>VLOOKUP($C8,Items!$A$2:$AE$10014,8,FALSE)</f>
        <v>0</v>
      </c>
      <c r="H8" s="28">
        <f>IF(E8=0,+VLOOKUP($C8,Items!$A$2:$AE$10014,9,FALSE),+VLOOKUP($C8,Items!$A$2:$AE$10014,9,FALSE)*E8*F8*G8)</f>
        <v>0</v>
      </c>
      <c r="I8" s="29">
        <f>IF(E8=0,+VLOOKUP($C8,Items!$A$2:$AE$10014,10,FALSE)*A8,(A8*H8))</f>
        <v>0</v>
      </c>
      <c r="J8" s="8">
        <v>0.14599999999999999</v>
      </c>
      <c r="K8" s="16">
        <f t="shared" si="0"/>
        <v>0.14599999999999999</v>
      </c>
      <c r="L8" s="36">
        <f t="shared" si="3"/>
        <v>0</v>
      </c>
      <c r="M8" s="16">
        <f t="shared" si="1"/>
        <v>0</v>
      </c>
      <c r="N8" s="17">
        <f>VLOOKUP($C8,Items!$A$2:$AE$10014,4,FALSE)*A8</f>
        <v>0</v>
      </c>
      <c r="O8" s="9">
        <v>0</v>
      </c>
      <c r="P8" s="18">
        <f t="shared" si="4"/>
        <v>0</v>
      </c>
      <c r="Q8" s="16">
        <f t="shared" si="2"/>
        <v>1</v>
      </c>
      <c r="R8" s="61" t="str">
        <f>VLOOKUP($C8,Items!$A$2:$AE$10014,11,FALSE)</f>
        <v>Material</v>
      </c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</row>
    <row r="9" spans="1:148" x14ac:dyDescent="0.25">
      <c r="A9" s="6">
        <f>1*A4</f>
        <v>1</v>
      </c>
      <c r="B9" s="7" t="str">
        <f>VLOOKUP($C9,Items!$A$2:$AE$10014,5,FALSE)</f>
        <v>ea</v>
      </c>
      <c r="C9" s="41" t="s">
        <v>243</v>
      </c>
      <c r="D9" s="6" t="s">
        <v>244</v>
      </c>
      <c r="E9" s="28">
        <v>4</v>
      </c>
      <c r="F9" s="28">
        <v>12</v>
      </c>
      <c r="G9" s="28">
        <v>0.75</v>
      </c>
      <c r="H9" s="28">
        <f>IF(E9=0,+VLOOKUP($C9,Items!$A$2:$AE$10014,9,FALSE),+VLOOKUP($C9,Items!$A$2:$AE$10014,9,FALSE)*E9*F9*G9)</f>
        <v>15.000120000000001</v>
      </c>
      <c r="I9" s="29">
        <f>IF(E9=0,+VLOOKUP($C9,Items!$A$2:$AE$10014,10,FALSE)*A9,(A9*H9))</f>
        <v>15.000120000000001</v>
      </c>
      <c r="J9" s="8">
        <f>IF(E9=0,+VLOOKUP($C9,Items!$A$2:$AE$10014,3,FALSE),+VLOOKUP($C9,Items!$A$2:$AE$10014,3,FALSE)*H9)</f>
        <v>21.000167999999999</v>
      </c>
      <c r="K9" s="16">
        <f t="shared" si="0"/>
        <v>21.000167999999999</v>
      </c>
      <c r="L9" s="36">
        <f t="shared" si="3"/>
        <v>0</v>
      </c>
      <c r="M9" s="16">
        <f t="shared" si="1"/>
        <v>0</v>
      </c>
      <c r="N9" s="17">
        <f>VLOOKUP($C9,Items!$A$2:$AE$10014,4,FALSE)*A9</f>
        <v>0</v>
      </c>
      <c r="O9" s="9">
        <v>0</v>
      </c>
      <c r="P9" s="18">
        <f t="shared" si="4"/>
        <v>0</v>
      </c>
      <c r="Q9" s="16">
        <f t="shared" si="2"/>
        <v>22</v>
      </c>
      <c r="R9" s="61" t="str">
        <f>VLOOKUP($C9,Items!$A$2:$AE$10014,11,FALSE)</f>
        <v>Material</v>
      </c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</row>
    <row r="10" spans="1:148" x14ac:dyDescent="0.25"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/>
      <c r="EA10" s="22"/>
      <c r="EB10" s="22"/>
      <c r="EC10" s="22"/>
      <c r="ED10" s="22"/>
      <c r="EE10" s="22"/>
      <c r="EF10" s="22"/>
      <c r="EG10" s="22"/>
      <c r="EH10" s="22"/>
      <c r="EI10" s="22"/>
      <c r="EJ10" s="22"/>
      <c r="EK10" s="22"/>
      <c r="EL10" s="22"/>
      <c r="EM10" s="22"/>
      <c r="EN10" s="22"/>
      <c r="EO10" s="22"/>
      <c r="EP10" s="22"/>
      <c r="EQ10" s="22"/>
      <c r="ER10" s="22"/>
    </row>
    <row r="11" spans="1:148" x14ac:dyDescent="0.25"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  <c r="EI11" s="22"/>
      <c r="EJ11" s="22"/>
      <c r="EK11" s="22"/>
      <c r="EL11" s="22"/>
      <c r="EM11" s="22"/>
      <c r="EN11" s="22"/>
      <c r="EO11" s="22"/>
      <c r="EP11" s="22"/>
      <c r="EQ11" s="22"/>
      <c r="ER11" s="22"/>
    </row>
    <row r="12" spans="1:148" x14ac:dyDescent="0.25"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</row>
    <row r="13" spans="1:148" ht="15.75" x14ac:dyDescent="0.25">
      <c r="A13" s="74">
        <v>1</v>
      </c>
      <c r="B13" s="74" t="s">
        <v>0</v>
      </c>
      <c r="C13" s="75" t="s">
        <v>245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  <c r="EI13" s="22"/>
      <c r="EJ13" s="22"/>
      <c r="EK13" s="22"/>
      <c r="EL13" s="22"/>
      <c r="EM13" s="22"/>
      <c r="EN13" s="22"/>
      <c r="EO13" s="22"/>
      <c r="EP13" s="22"/>
      <c r="EQ13" s="22"/>
      <c r="ER13" s="22"/>
    </row>
    <row r="14" spans="1:148" ht="39" x14ac:dyDescent="0.25">
      <c r="A14" s="1" t="s">
        <v>7</v>
      </c>
      <c r="B14" s="1" t="s">
        <v>3</v>
      </c>
      <c r="C14" s="1" t="s">
        <v>10</v>
      </c>
      <c r="D14" s="1" t="s">
        <v>4</v>
      </c>
      <c r="E14" s="3" t="s">
        <v>21</v>
      </c>
      <c r="F14" s="3" t="s">
        <v>26</v>
      </c>
      <c r="G14" s="3" t="s">
        <v>27</v>
      </c>
      <c r="H14" s="3" t="s">
        <v>145</v>
      </c>
      <c r="I14" s="3" t="s">
        <v>23</v>
      </c>
      <c r="J14" s="3" t="s">
        <v>146</v>
      </c>
      <c r="K14" s="3" t="s">
        <v>15</v>
      </c>
      <c r="L14" s="3" t="s">
        <v>8</v>
      </c>
      <c r="M14" s="3" t="s">
        <v>5</v>
      </c>
      <c r="N14" s="3" t="s">
        <v>11</v>
      </c>
      <c r="O14" s="3" t="s">
        <v>2</v>
      </c>
      <c r="P14" s="1" t="s">
        <v>1</v>
      </c>
      <c r="Q14" s="3" t="s">
        <v>6</v>
      </c>
      <c r="R14" s="3" t="s">
        <v>18</v>
      </c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22"/>
      <c r="EH14" s="22"/>
      <c r="EI14" s="22"/>
      <c r="EJ14" s="22"/>
      <c r="EK14" s="22"/>
      <c r="EL14" s="22"/>
      <c r="EM14" s="22"/>
      <c r="EN14" s="22"/>
      <c r="EO14" s="22"/>
      <c r="EP14" s="22"/>
      <c r="EQ14" s="22"/>
      <c r="ER14" s="22"/>
    </row>
    <row r="15" spans="1:148" x14ac:dyDescent="0.25">
      <c r="A15" s="6">
        <f>0.1*A13</f>
        <v>0.1</v>
      </c>
      <c r="B15" s="7" t="str">
        <f>VLOOKUP($C15,Items!$A$2:$AE$10014,5,FALSE)</f>
        <v>mh</v>
      </c>
      <c r="C15" s="41" t="s">
        <v>49</v>
      </c>
      <c r="D15" s="6" t="s">
        <v>242</v>
      </c>
      <c r="E15" s="28">
        <f>VLOOKUP($C15,Items!$A$2:$AE$10014,6,FALSE)</f>
        <v>0</v>
      </c>
      <c r="F15" s="28">
        <f>VLOOKUP($C15,Items!$A$2:$AE$10014,7,FALSE)</f>
        <v>0</v>
      </c>
      <c r="G15" s="28">
        <f>VLOOKUP($C15,Items!$A$2:$AE$10014,8,FALSE)</f>
        <v>0</v>
      </c>
      <c r="H15" s="28">
        <f>IF(E15=0,+VLOOKUP($C15,Items!$A$2:$AE$10014,9,FALSE),+VLOOKUP($C15,Items!$A$2:$AE$10014,9,FALSE)*E15*F15*G15)</f>
        <v>0</v>
      </c>
      <c r="I15" s="29">
        <f>IF(E15=0,+VLOOKUP($C15,Items!$A$2:$AE$10014,10,FALSE)*A15,(A15*H15))</f>
        <v>0</v>
      </c>
      <c r="J15" s="8">
        <f>IF(E15=0,+VLOOKUP($C15,Items!$A$2:$AE$10014,3,FALSE),+VLOOKUP($C15,Items!$A$2:$AE$10014,3,FALSE)*H15)</f>
        <v>40</v>
      </c>
      <c r="K15" s="16">
        <f t="shared" ref="K15:K18" si="5">A15*J15</f>
        <v>4</v>
      </c>
      <c r="L15" s="36">
        <f>IF(R15="Labor",$D$2,$D$3)</f>
        <v>0</v>
      </c>
      <c r="M15" s="16">
        <f t="shared" ref="M15:M18" si="6">K15*L15</f>
        <v>0</v>
      </c>
      <c r="N15" s="17">
        <f>VLOOKUP($C15,Items!$A$2:$AE$10014,4,FALSE)*A15</f>
        <v>4.1000000000000005</v>
      </c>
      <c r="O15" s="9">
        <v>0</v>
      </c>
      <c r="P15" s="18">
        <f>IF(O15=1,(K15+M15)*($D$1),0)</f>
        <v>0</v>
      </c>
      <c r="Q15" s="16">
        <f t="shared" ref="Q15:Q18" si="7">ROUNDUP(K15+M15+N15+P15,0)</f>
        <v>9</v>
      </c>
      <c r="R15" s="61" t="str">
        <f>VLOOKUP($C15,Items!$A$2:$AE$10014,11,FALSE)</f>
        <v>Labor</v>
      </c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  <c r="EI15" s="22"/>
      <c r="EJ15" s="22"/>
      <c r="EK15" s="22"/>
      <c r="EL15" s="22"/>
      <c r="EM15" s="22"/>
      <c r="EN15" s="22"/>
      <c r="EO15" s="22"/>
      <c r="EP15" s="22"/>
      <c r="EQ15" s="22"/>
      <c r="ER15" s="22"/>
    </row>
    <row r="16" spans="1:148" x14ac:dyDescent="0.25">
      <c r="A16" s="6">
        <f>1*A13</f>
        <v>1</v>
      </c>
      <c r="B16" s="7" t="str">
        <f>VLOOKUP($C16,Items!$A$2:$AE$10014,5,FALSE)</f>
        <v>ea</v>
      </c>
      <c r="C16" s="41" t="s">
        <v>104</v>
      </c>
      <c r="D16" s="6" t="s">
        <v>249</v>
      </c>
      <c r="E16" s="28">
        <f>VLOOKUP($C16,Items!$A$2:$AE$10014,6,FALSE)</f>
        <v>0</v>
      </c>
      <c r="F16" s="28">
        <f>VLOOKUP($C16,Items!$A$2:$AE$10014,7,FALSE)</f>
        <v>0</v>
      </c>
      <c r="G16" s="28">
        <f>VLOOKUP($C16,Items!$A$2:$AE$10014,8,FALSE)</f>
        <v>0</v>
      </c>
      <c r="H16" s="28">
        <f>IF(E16=0,+VLOOKUP($C16,Items!$A$2:$AE$10014,9,FALSE),+VLOOKUP($C16,Items!$A$2:$AE$10014,9,FALSE)*E16*F16*G16)</f>
        <v>0</v>
      </c>
      <c r="I16" s="29">
        <f>IF(E16=0,+VLOOKUP($C16,Items!$A$2:$AE$10014,10,FALSE)*A16,(A16*H16))</f>
        <v>0</v>
      </c>
      <c r="J16" s="8">
        <v>0.129</v>
      </c>
      <c r="K16" s="16">
        <f t="shared" si="5"/>
        <v>0.129</v>
      </c>
      <c r="L16" s="36">
        <f t="shared" ref="L16:L18" si="8">IF(R16="Labor",$D$2,$D$3)</f>
        <v>0</v>
      </c>
      <c r="M16" s="16">
        <f t="shared" si="6"/>
        <v>0</v>
      </c>
      <c r="N16" s="17">
        <f>VLOOKUP($C16,Items!$A$2:$AE$10014,4,FALSE)*A16</f>
        <v>0</v>
      </c>
      <c r="O16" s="9">
        <v>0</v>
      </c>
      <c r="P16" s="18">
        <f t="shared" ref="P16:P18" si="9">IF(O16=1,(K16+M16)*($D$1),0)</f>
        <v>0</v>
      </c>
      <c r="Q16" s="16">
        <f t="shared" si="7"/>
        <v>1</v>
      </c>
      <c r="R16" s="61" t="str">
        <f>VLOOKUP($C16,Items!$A$2:$AE$10014,11,FALSE)</f>
        <v>Material</v>
      </c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22"/>
      <c r="EH16" s="22"/>
      <c r="EI16" s="22"/>
      <c r="EJ16" s="22"/>
      <c r="EK16" s="22"/>
      <c r="EL16" s="22"/>
      <c r="EM16" s="22"/>
      <c r="EN16" s="22"/>
      <c r="EO16" s="22"/>
      <c r="EP16" s="22"/>
      <c r="EQ16" s="22"/>
      <c r="ER16" s="22"/>
    </row>
    <row r="17" spans="1:148" x14ac:dyDescent="0.25">
      <c r="A17" s="6">
        <f>1*A13</f>
        <v>1</v>
      </c>
      <c r="B17" s="7" t="str">
        <f>VLOOKUP($C17,Items!$A$2:$AE$10014,5,FALSE)</f>
        <v>ea</v>
      </c>
      <c r="C17" s="41" t="s">
        <v>64</v>
      </c>
      <c r="D17" s="6" t="s">
        <v>250</v>
      </c>
      <c r="E17" s="28">
        <f>VLOOKUP($C17,Items!$A$2:$AE$10014,6,FALSE)</f>
        <v>0</v>
      </c>
      <c r="F17" s="28">
        <f>VLOOKUP($C17,Items!$A$2:$AE$10014,7,FALSE)</f>
        <v>0</v>
      </c>
      <c r="G17" s="28">
        <f>VLOOKUP($C17,Items!$A$2:$AE$10014,8,FALSE)</f>
        <v>0</v>
      </c>
      <c r="H17" s="28">
        <f>IF(E17=0,+VLOOKUP($C17,Items!$A$2:$AE$10014,9,FALSE),+VLOOKUP($C17,Items!$A$2:$AE$10014,9,FALSE)*E17*F17*G17)</f>
        <v>0</v>
      </c>
      <c r="I17" s="29">
        <f>IF(E17=0,+VLOOKUP($C17,Items!$A$2:$AE$10014,10,FALSE)*A17,(A17*H17))</f>
        <v>0</v>
      </c>
      <c r="J17" s="8">
        <v>0.17499999999999999</v>
      </c>
      <c r="K17" s="16">
        <f t="shared" si="5"/>
        <v>0.17499999999999999</v>
      </c>
      <c r="L17" s="36">
        <f t="shared" si="8"/>
        <v>0</v>
      </c>
      <c r="M17" s="16">
        <f t="shared" si="6"/>
        <v>0</v>
      </c>
      <c r="N17" s="17">
        <f>VLOOKUP($C17,Items!$A$2:$AE$10014,4,FALSE)*A17</f>
        <v>0</v>
      </c>
      <c r="O17" s="9">
        <v>0</v>
      </c>
      <c r="P17" s="18">
        <f t="shared" si="9"/>
        <v>0</v>
      </c>
      <c r="Q17" s="16">
        <f t="shared" si="7"/>
        <v>1</v>
      </c>
      <c r="R17" s="61" t="str">
        <f>VLOOKUP($C17,Items!$A$2:$AE$10014,11,FALSE)</f>
        <v>Material</v>
      </c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</row>
    <row r="18" spans="1:148" x14ac:dyDescent="0.25">
      <c r="A18" s="6">
        <f>1*A13</f>
        <v>1</v>
      </c>
      <c r="B18" s="7" t="str">
        <f>VLOOKUP($C18,Items!$A$2:$AE$10014,5,FALSE)</f>
        <v>ea</v>
      </c>
      <c r="C18" s="41" t="s">
        <v>243</v>
      </c>
      <c r="D18" s="6" t="s">
        <v>244</v>
      </c>
      <c r="E18" s="28">
        <v>4</v>
      </c>
      <c r="F18" s="28">
        <v>12</v>
      </c>
      <c r="G18" s="28">
        <v>1</v>
      </c>
      <c r="H18" s="28">
        <f>IF(E18=0,+VLOOKUP($C18,Items!$A$2:$AE$10014,9,FALSE),+VLOOKUP($C18,Items!$A$2:$AE$10014,9,FALSE)*E18*F18*G18)</f>
        <v>20.000160000000001</v>
      </c>
      <c r="I18" s="29">
        <f>IF(E18=0,+VLOOKUP($C18,Items!$A$2:$AE$10014,10,FALSE)*A18,(A18*H18))</f>
        <v>20.000160000000001</v>
      </c>
      <c r="J18" s="8">
        <f>IF(E18=0,+VLOOKUP($C18,Items!$A$2:$AE$10014,3,FALSE),+VLOOKUP($C18,Items!$A$2:$AE$10014,3,FALSE)*H18)</f>
        <v>28.000223999999999</v>
      </c>
      <c r="K18" s="16">
        <f t="shared" si="5"/>
        <v>28.000223999999999</v>
      </c>
      <c r="L18" s="36">
        <f t="shared" si="8"/>
        <v>0</v>
      </c>
      <c r="M18" s="16">
        <f t="shared" si="6"/>
        <v>0</v>
      </c>
      <c r="N18" s="17">
        <f>VLOOKUP($C18,Items!$A$2:$AE$10014,4,FALSE)*A18</f>
        <v>0</v>
      </c>
      <c r="O18" s="9">
        <v>0</v>
      </c>
      <c r="P18" s="18">
        <f t="shared" si="9"/>
        <v>0</v>
      </c>
      <c r="Q18" s="16">
        <f t="shared" si="7"/>
        <v>29</v>
      </c>
      <c r="R18" s="61" t="str">
        <f>VLOOKUP($C18,Items!$A$2:$AE$10014,11,FALSE)</f>
        <v>Material</v>
      </c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</row>
    <row r="19" spans="1:148" x14ac:dyDescent="0.25"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</row>
    <row r="20" spans="1:148" x14ac:dyDescent="0.25"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</row>
    <row r="21" spans="1:148" x14ac:dyDescent="0.25"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</row>
    <row r="22" spans="1:148" ht="15.75" x14ac:dyDescent="0.25">
      <c r="A22" s="74">
        <v>1</v>
      </c>
      <c r="B22" s="74" t="s">
        <v>0</v>
      </c>
      <c r="C22" s="75" t="s">
        <v>246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</row>
    <row r="23" spans="1:148" ht="39" x14ac:dyDescent="0.25">
      <c r="A23" s="1" t="s">
        <v>7</v>
      </c>
      <c r="B23" s="1" t="s">
        <v>3</v>
      </c>
      <c r="C23" s="1" t="s">
        <v>10</v>
      </c>
      <c r="D23" s="1" t="s">
        <v>4</v>
      </c>
      <c r="E23" s="3" t="s">
        <v>21</v>
      </c>
      <c r="F23" s="3" t="s">
        <v>26</v>
      </c>
      <c r="G23" s="3" t="s">
        <v>27</v>
      </c>
      <c r="H23" s="3" t="s">
        <v>145</v>
      </c>
      <c r="I23" s="3" t="s">
        <v>23</v>
      </c>
      <c r="J23" s="3" t="s">
        <v>146</v>
      </c>
      <c r="K23" s="3" t="s">
        <v>15</v>
      </c>
      <c r="L23" s="3" t="s">
        <v>8</v>
      </c>
      <c r="M23" s="3" t="s">
        <v>5</v>
      </c>
      <c r="N23" s="3" t="s">
        <v>11</v>
      </c>
      <c r="O23" s="3" t="s">
        <v>2</v>
      </c>
      <c r="P23" s="1" t="s">
        <v>1</v>
      </c>
      <c r="Q23" s="3" t="s">
        <v>6</v>
      </c>
      <c r="R23" s="3" t="s">
        <v>18</v>
      </c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</row>
    <row r="24" spans="1:148" x14ac:dyDescent="0.25">
      <c r="A24" s="6">
        <f>0.107*A22</f>
        <v>0.107</v>
      </c>
      <c r="B24" s="7" t="str">
        <f>VLOOKUP($C24,Items!$A$2:$AE$10014,5,FALSE)</f>
        <v>mh</v>
      </c>
      <c r="C24" s="41" t="s">
        <v>49</v>
      </c>
      <c r="D24" s="6" t="s">
        <v>242</v>
      </c>
      <c r="E24" s="28">
        <f>VLOOKUP($C24,Items!$A$2:$AE$10014,6,FALSE)</f>
        <v>0</v>
      </c>
      <c r="F24" s="28">
        <f>VLOOKUP($C24,Items!$A$2:$AE$10014,7,FALSE)</f>
        <v>0</v>
      </c>
      <c r="G24" s="28">
        <f>VLOOKUP($C24,Items!$A$2:$AE$10014,8,FALSE)</f>
        <v>0</v>
      </c>
      <c r="H24" s="28">
        <f>IF(E24=0,+VLOOKUP($C24,Items!$A$2:$AE$10014,9,FALSE),+VLOOKUP($C24,Items!$A$2:$AE$10014,9,FALSE)*E24*F24*G24)</f>
        <v>0</v>
      </c>
      <c r="I24" s="29">
        <f>IF(E24=0,+VLOOKUP($C24,Items!$A$2:$AE$10014,10,FALSE)*A24,(A24*H24))</f>
        <v>0</v>
      </c>
      <c r="J24" s="8">
        <f>IF(E24=0,+VLOOKUP($C24,Items!$A$2:$AE$10014,3,FALSE),+VLOOKUP($C24,Items!$A$2:$AE$10014,3,FALSE)*H24)</f>
        <v>40</v>
      </c>
      <c r="K24" s="16">
        <f t="shared" ref="K24:K27" si="10">A24*J24</f>
        <v>4.28</v>
      </c>
      <c r="L24" s="36">
        <f>IF(R24="Labor",$D$2,$D$3)</f>
        <v>0</v>
      </c>
      <c r="M24" s="16">
        <f t="shared" ref="M24:M27" si="11">K24*L24</f>
        <v>0</v>
      </c>
      <c r="N24" s="17">
        <f>VLOOKUP($C24,Items!$A$2:$AE$10014,4,FALSE)*A24</f>
        <v>4.3869999999999996</v>
      </c>
      <c r="O24" s="9">
        <v>0</v>
      </c>
      <c r="P24" s="18">
        <f>IF(O24=1,(K24+M24)*($D$1),0)</f>
        <v>0</v>
      </c>
      <c r="Q24" s="16">
        <f t="shared" ref="Q24:Q27" si="12">ROUNDUP(K24+M24+N24+P24,0)</f>
        <v>9</v>
      </c>
      <c r="R24" s="61" t="str">
        <f>VLOOKUP($C24,Items!$A$2:$AE$10014,11,FALSE)</f>
        <v>Labor</v>
      </c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</row>
    <row r="25" spans="1:148" x14ac:dyDescent="0.25">
      <c r="A25" s="6">
        <f>1*A22</f>
        <v>1</v>
      </c>
      <c r="B25" s="7" t="str">
        <f>VLOOKUP($C25,Items!$A$2:$AE$10014,5,FALSE)</f>
        <v>ea</v>
      </c>
      <c r="C25" s="41" t="s">
        <v>104</v>
      </c>
      <c r="D25" s="6" t="s">
        <v>249</v>
      </c>
      <c r="E25" s="28">
        <f>VLOOKUP($C25,Items!$A$2:$AE$10014,6,FALSE)</f>
        <v>0</v>
      </c>
      <c r="F25" s="28">
        <f>VLOOKUP($C25,Items!$A$2:$AE$10014,7,FALSE)</f>
        <v>0</v>
      </c>
      <c r="G25" s="28">
        <f>VLOOKUP($C25,Items!$A$2:$AE$10014,8,FALSE)</f>
        <v>0</v>
      </c>
      <c r="H25" s="28">
        <f>IF(E25=0,+VLOOKUP($C25,Items!$A$2:$AE$10014,9,FALSE),+VLOOKUP($C25,Items!$A$2:$AE$10014,9,FALSE)*E25*F25*G25)</f>
        <v>0</v>
      </c>
      <c r="I25" s="29">
        <f>IF(E25=0,+VLOOKUP($C25,Items!$A$2:$AE$10014,10,FALSE)*A25,(A25*H25))</f>
        <v>0</v>
      </c>
      <c r="J25" s="8">
        <v>0.13700000000000001</v>
      </c>
      <c r="K25" s="16">
        <f t="shared" si="10"/>
        <v>0.13700000000000001</v>
      </c>
      <c r="L25" s="36">
        <f t="shared" ref="L25:L27" si="13">IF(R25="Labor",$D$2,$D$3)</f>
        <v>0</v>
      </c>
      <c r="M25" s="16">
        <f t="shared" si="11"/>
        <v>0</v>
      </c>
      <c r="N25" s="17">
        <f>VLOOKUP($C25,Items!$A$2:$AE$10014,4,FALSE)*A25</f>
        <v>0</v>
      </c>
      <c r="O25" s="9">
        <v>0</v>
      </c>
      <c r="P25" s="18">
        <f t="shared" ref="P25:P27" si="14">IF(O25=1,(K25+M25)*($D$1),0)</f>
        <v>0</v>
      </c>
      <c r="Q25" s="16">
        <f t="shared" si="12"/>
        <v>1</v>
      </c>
      <c r="R25" s="61" t="str">
        <f>VLOOKUP($C25,Items!$A$2:$AE$10014,11,FALSE)</f>
        <v>Material</v>
      </c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</row>
    <row r="26" spans="1:148" x14ac:dyDescent="0.25">
      <c r="A26" s="6">
        <f>1*A22</f>
        <v>1</v>
      </c>
      <c r="B26" s="7" t="str">
        <f>VLOOKUP($C26,Items!$A$2:$AE$10014,5,FALSE)</f>
        <v>ea</v>
      </c>
      <c r="C26" s="41" t="s">
        <v>64</v>
      </c>
      <c r="D26" s="6" t="s">
        <v>250</v>
      </c>
      <c r="E26" s="28">
        <f>VLOOKUP($C26,Items!$A$2:$AE$10014,6,FALSE)</f>
        <v>0</v>
      </c>
      <c r="F26" s="28">
        <f>VLOOKUP($C26,Items!$A$2:$AE$10014,7,FALSE)</f>
        <v>0</v>
      </c>
      <c r="G26" s="28">
        <f>VLOOKUP($C26,Items!$A$2:$AE$10014,8,FALSE)</f>
        <v>0</v>
      </c>
      <c r="H26" s="28">
        <f>IF(E26=0,+VLOOKUP($C26,Items!$A$2:$AE$10014,9,FALSE),+VLOOKUP($C26,Items!$A$2:$AE$10014,9,FALSE)*E26*F26*G26)</f>
        <v>0</v>
      </c>
      <c r="I26" s="29">
        <f>IF(E26=0,+VLOOKUP($C26,Items!$A$2:$AE$10014,10,FALSE)*A26,(A26*H26))</f>
        <v>0</v>
      </c>
      <c r="J26" s="8">
        <v>0.187</v>
      </c>
      <c r="K26" s="16">
        <f t="shared" si="10"/>
        <v>0.187</v>
      </c>
      <c r="L26" s="36">
        <f t="shared" si="13"/>
        <v>0</v>
      </c>
      <c r="M26" s="16">
        <f t="shared" si="11"/>
        <v>0</v>
      </c>
      <c r="N26" s="17">
        <f>VLOOKUP($C26,Items!$A$2:$AE$10014,4,FALSE)*A26</f>
        <v>0</v>
      </c>
      <c r="O26" s="9">
        <v>0</v>
      </c>
      <c r="P26" s="18">
        <f t="shared" si="14"/>
        <v>0</v>
      </c>
      <c r="Q26" s="16">
        <f t="shared" si="12"/>
        <v>1</v>
      </c>
      <c r="R26" s="61" t="str">
        <f>VLOOKUP($C26,Items!$A$2:$AE$10014,11,FALSE)</f>
        <v>Material</v>
      </c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</row>
    <row r="27" spans="1:148" x14ac:dyDescent="0.25">
      <c r="A27" s="6">
        <f>1*A22</f>
        <v>1</v>
      </c>
      <c r="B27" s="7" t="str">
        <f>VLOOKUP($C27,Items!$A$2:$AE$10014,5,FALSE)</f>
        <v>ea</v>
      </c>
      <c r="C27" s="41" t="s">
        <v>243</v>
      </c>
      <c r="D27" s="6" t="s">
        <v>244</v>
      </c>
      <c r="E27" s="28">
        <v>4</v>
      </c>
      <c r="F27" s="28">
        <v>12</v>
      </c>
      <c r="G27" s="28">
        <v>1.5</v>
      </c>
      <c r="H27" s="28">
        <f>IF(E27=0,+VLOOKUP($C27,Items!$A$2:$AE$10014,9,FALSE),+VLOOKUP($C27,Items!$A$2:$AE$10014,9,FALSE)*E27*F27*G27)</f>
        <v>30.000240000000002</v>
      </c>
      <c r="I27" s="29">
        <f>IF(E27=0,+VLOOKUP($C27,Items!$A$2:$AE$10014,10,FALSE)*A27,(A27*H27))</f>
        <v>30.000240000000002</v>
      </c>
      <c r="J27" s="8">
        <f>IF(E27=0,+VLOOKUP($C27,Items!$A$2:$AE$10014,3,FALSE),+VLOOKUP($C27,Items!$A$2:$AE$10014,3,FALSE)*H27)</f>
        <v>42.000335999999997</v>
      </c>
      <c r="K27" s="16">
        <f t="shared" si="10"/>
        <v>42.000335999999997</v>
      </c>
      <c r="L27" s="36">
        <f t="shared" si="13"/>
        <v>0</v>
      </c>
      <c r="M27" s="16">
        <f t="shared" si="11"/>
        <v>0</v>
      </c>
      <c r="N27" s="17">
        <f>VLOOKUP($C27,Items!$A$2:$AE$10014,4,FALSE)*A27</f>
        <v>0</v>
      </c>
      <c r="O27" s="9">
        <v>0</v>
      </c>
      <c r="P27" s="18">
        <f t="shared" si="14"/>
        <v>0</v>
      </c>
      <c r="Q27" s="16">
        <f t="shared" si="12"/>
        <v>43</v>
      </c>
      <c r="R27" s="61" t="str">
        <f>VLOOKUP($C27,Items!$A$2:$AE$10014,11,FALSE)</f>
        <v>Material</v>
      </c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</row>
    <row r="28" spans="1:148" x14ac:dyDescent="0.25"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2"/>
      <c r="EN28" s="22"/>
      <c r="EO28" s="22"/>
      <c r="EP28" s="22"/>
      <c r="EQ28" s="22"/>
      <c r="ER28" s="22"/>
    </row>
    <row r="29" spans="1:148" x14ac:dyDescent="0.25"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</row>
    <row r="30" spans="1:148" x14ac:dyDescent="0.25"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22"/>
      <c r="EH30" s="22"/>
      <c r="EI30" s="22"/>
      <c r="EJ30" s="22"/>
      <c r="EK30" s="22"/>
      <c r="EL30" s="22"/>
      <c r="EM30" s="22"/>
      <c r="EN30" s="22"/>
      <c r="EO30" s="22"/>
      <c r="EP30" s="22"/>
      <c r="EQ30" s="22"/>
      <c r="ER30" s="22"/>
    </row>
    <row r="31" spans="1:148" ht="15.75" x14ac:dyDescent="0.25">
      <c r="A31" s="74">
        <v>1</v>
      </c>
      <c r="B31" s="74" t="s">
        <v>0</v>
      </c>
      <c r="C31" s="75" t="s">
        <v>247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22"/>
      <c r="EC31" s="22"/>
      <c r="ED31" s="22"/>
      <c r="EE31" s="22"/>
      <c r="EF31" s="22"/>
      <c r="EG31" s="22"/>
      <c r="EH31" s="22"/>
      <c r="EI31" s="22"/>
      <c r="EJ31" s="22"/>
      <c r="EK31" s="22"/>
      <c r="EL31" s="22"/>
      <c r="EM31" s="22"/>
      <c r="EN31" s="22"/>
      <c r="EO31" s="22"/>
      <c r="EP31" s="22"/>
      <c r="EQ31" s="22"/>
      <c r="ER31" s="22"/>
    </row>
    <row r="32" spans="1:148" ht="39" x14ac:dyDescent="0.25">
      <c r="A32" s="1" t="s">
        <v>7</v>
      </c>
      <c r="B32" s="1" t="s">
        <v>3</v>
      </c>
      <c r="C32" s="1" t="s">
        <v>10</v>
      </c>
      <c r="D32" s="1" t="s">
        <v>4</v>
      </c>
      <c r="E32" s="3" t="s">
        <v>21</v>
      </c>
      <c r="F32" s="3" t="s">
        <v>26</v>
      </c>
      <c r="G32" s="3" t="s">
        <v>27</v>
      </c>
      <c r="H32" s="3" t="s">
        <v>145</v>
      </c>
      <c r="I32" s="3" t="s">
        <v>23</v>
      </c>
      <c r="J32" s="3" t="s">
        <v>146</v>
      </c>
      <c r="K32" s="3" t="s">
        <v>15</v>
      </c>
      <c r="L32" s="3" t="s">
        <v>8</v>
      </c>
      <c r="M32" s="3" t="s">
        <v>5</v>
      </c>
      <c r="N32" s="3" t="s">
        <v>11</v>
      </c>
      <c r="O32" s="3" t="s">
        <v>2</v>
      </c>
      <c r="P32" s="1" t="s">
        <v>1</v>
      </c>
      <c r="Q32" s="3" t="s">
        <v>6</v>
      </c>
      <c r="R32" s="3" t="s">
        <v>18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22"/>
      <c r="DZ32" s="22"/>
      <c r="EA32" s="22"/>
      <c r="EB32" s="22"/>
      <c r="EC32" s="22"/>
      <c r="ED32" s="22"/>
      <c r="EE32" s="22"/>
      <c r="EF32" s="22"/>
      <c r="EG32" s="22"/>
      <c r="EH32" s="22"/>
      <c r="EI32" s="22"/>
      <c r="EJ32" s="22"/>
      <c r="EK32" s="22"/>
      <c r="EL32" s="22"/>
      <c r="EM32" s="22"/>
      <c r="EN32" s="22"/>
      <c r="EO32" s="22"/>
      <c r="EP32" s="22"/>
      <c r="EQ32" s="22"/>
      <c r="ER32" s="22"/>
    </row>
    <row r="33" spans="1:148" x14ac:dyDescent="0.25">
      <c r="A33" s="6">
        <f>0.134*A31</f>
        <v>0.13400000000000001</v>
      </c>
      <c r="B33" s="7" t="str">
        <f>VLOOKUP($C33,Items!$A$2:$AE$10014,5,FALSE)</f>
        <v>mh</v>
      </c>
      <c r="C33" s="41" t="s">
        <v>49</v>
      </c>
      <c r="D33" s="6" t="s">
        <v>242</v>
      </c>
      <c r="E33" s="28">
        <f>VLOOKUP($C33,Items!$A$2:$AE$10014,6,FALSE)</f>
        <v>0</v>
      </c>
      <c r="F33" s="28">
        <f>VLOOKUP($C33,Items!$A$2:$AE$10014,7,FALSE)</f>
        <v>0</v>
      </c>
      <c r="G33" s="28">
        <f>VLOOKUP($C33,Items!$A$2:$AE$10014,8,FALSE)</f>
        <v>0</v>
      </c>
      <c r="H33" s="28">
        <f>IF(E33=0,+VLOOKUP($C33,Items!$A$2:$AE$10014,9,FALSE),+VLOOKUP($C33,Items!$A$2:$AE$10014,9,FALSE)*E33*F33*G33)</f>
        <v>0</v>
      </c>
      <c r="I33" s="29">
        <f>IF(E33=0,+VLOOKUP($C33,Items!$A$2:$AE$10014,10,FALSE)*A33,(A33*H33))</f>
        <v>0</v>
      </c>
      <c r="J33" s="8">
        <f>IF(E33=0,+VLOOKUP($C33,Items!$A$2:$AE$10014,3,FALSE),+VLOOKUP($C33,Items!$A$2:$AE$10014,3,FALSE)*H33)</f>
        <v>40</v>
      </c>
      <c r="K33" s="16">
        <f t="shared" ref="K33:K36" si="15">A33*J33</f>
        <v>5.36</v>
      </c>
      <c r="L33" s="36">
        <f>IF(R33="Labor",$D$2,$D$3)</f>
        <v>0</v>
      </c>
      <c r="M33" s="16">
        <f t="shared" ref="M33:M36" si="16">K33*L33</f>
        <v>0</v>
      </c>
      <c r="N33" s="17">
        <f>VLOOKUP($C33,Items!$A$2:$AE$10014,4,FALSE)*A33</f>
        <v>5.4940000000000007</v>
      </c>
      <c r="O33" s="9">
        <v>0</v>
      </c>
      <c r="P33" s="18">
        <f>IF(O33=1,(K33+M33)*($D$1),0)</f>
        <v>0</v>
      </c>
      <c r="Q33" s="16">
        <f t="shared" ref="Q33:Q36" si="17">ROUNDUP(K33+M33+N33+P33,0)</f>
        <v>11</v>
      </c>
      <c r="R33" s="61" t="str">
        <f>VLOOKUP($C33,Items!$A$2:$AE$10014,11,FALSE)</f>
        <v>Labor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</row>
    <row r="34" spans="1:148" x14ac:dyDescent="0.25">
      <c r="A34" s="6">
        <f>1*A31</f>
        <v>1</v>
      </c>
      <c r="B34" s="7" t="str">
        <f>VLOOKUP($C34,Items!$A$2:$AE$10014,5,FALSE)</f>
        <v>ea</v>
      </c>
      <c r="C34" s="41" t="s">
        <v>104</v>
      </c>
      <c r="D34" s="6" t="s">
        <v>249</v>
      </c>
      <c r="E34" s="28">
        <f>VLOOKUP($C34,Items!$A$2:$AE$10014,6,FALSE)</f>
        <v>0</v>
      </c>
      <c r="F34" s="28">
        <f>VLOOKUP($C34,Items!$A$2:$AE$10014,7,FALSE)</f>
        <v>0</v>
      </c>
      <c r="G34" s="28">
        <f>VLOOKUP($C34,Items!$A$2:$AE$10014,8,FALSE)</f>
        <v>0</v>
      </c>
      <c r="H34" s="28">
        <f>IF(E34=0,+VLOOKUP($C34,Items!$A$2:$AE$10014,9,FALSE),+VLOOKUP($C34,Items!$A$2:$AE$10014,9,FALSE)*E34*F34*G34)</f>
        <v>0</v>
      </c>
      <c r="I34" s="29">
        <f>IF(E34=0,+VLOOKUP($C34,Items!$A$2:$AE$10014,10,FALSE)*A34,(A34*H34))</f>
        <v>0</v>
      </c>
      <c r="J34" s="8">
        <v>0.17199999999999999</v>
      </c>
      <c r="K34" s="16">
        <f t="shared" si="15"/>
        <v>0.17199999999999999</v>
      </c>
      <c r="L34" s="36">
        <f t="shared" ref="L34:L36" si="18">IF(R34="Labor",$D$2,$D$3)</f>
        <v>0</v>
      </c>
      <c r="M34" s="16">
        <f t="shared" si="16"/>
        <v>0</v>
      </c>
      <c r="N34" s="17">
        <f>VLOOKUP($C34,Items!$A$2:$AE$10014,4,FALSE)*A34</f>
        <v>0</v>
      </c>
      <c r="O34" s="9">
        <v>0</v>
      </c>
      <c r="P34" s="18">
        <f t="shared" ref="P34:P36" si="19">IF(O34=1,(K34+M34)*($D$1),0)</f>
        <v>0</v>
      </c>
      <c r="Q34" s="16">
        <f t="shared" si="17"/>
        <v>1</v>
      </c>
      <c r="R34" s="61" t="str">
        <f>VLOOKUP($C34,Items!$A$2:$AE$10014,11,FALSE)</f>
        <v>Material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22"/>
      <c r="EH34" s="22"/>
      <c r="EI34" s="22"/>
      <c r="EJ34" s="22"/>
      <c r="EK34" s="22"/>
      <c r="EL34" s="22"/>
      <c r="EM34" s="22"/>
      <c r="EN34" s="22"/>
      <c r="EO34" s="22"/>
      <c r="EP34" s="22"/>
      <c r="EQ34" s="22"/>
      <c r="ER34" s="22"/>
    </row>
    <row r="35" spans="1:148" x14ac:dyDescent="0.25">
      <c r="A35" s="6">
        <f>1*A31</f>
        <v>1</v>
      </c>
      <c r="B35" s="7" t="str">
        <f>VLOOKUP($C35,Items!$A$2:$AE$10014,5,FALSE)</f>
        <v>ea</v>
      </c>
      <c r="C35" s="41" t="s">
        <v>64</v>
      </c>
      <c r="D35" s="6" t="s">
        <v>250</v>
      </c>
      <c r="E35" s="28">
        <f>VLOOKUP($C35,Items!$A$2:$AE$10014,6,FALSE)</f>
        <v>0</v>
      </c>
      <c r="F35" s="28">
        <f>VLOOKUP($C35,Items!$A$2:$AE$10014,7,FALSE)</f>
        <v>0</v>
      </c>
      <c r="G35" s="28">
        <f>VLOOKUP($C35,Items!$A$2:$AE$10014,8,FALSE)</f>
        <v>0</v>
      </c>
      <c r="H35" s="28">
        <f>IF(E35=0,+VLOOKUP($C35,Items!$A$2:$AE$10014,9,FALSE),+VLOOKUP($C35,Items!$A$2:$AE$10014,9,FALSE)*E35*F35*G35)</f>
        <v>0</v>
      </c>
      <c r="I35" s="29">
        <f>IF(E35=0,+VLOOKUP($C35,Items!$A$2:$AE$10014,10,FALSE)*A35,(A35*H35))</f>
        <v>0</v>
      </c>
      <c r="J35" s="8">
        <v>0.23400000000000001</v>
      </c>
      <c r="K35" s="16">
        <f t="shared" si="15"/>
        <v>0.23400000000000001</v>
      </c>
      <c r="L35" s="36">
        <f t="shared" si="18"/>
        <v>0</v>
      </c>
      <c r="M35" s="16">
        <f t="shared" si="16"/>
        <v>0</v>
      </c>
      <c r="N35" s="17">
        <f>VLOOKUP($C35,Items!$A$2:$AE$10014,4,FALSE)*A35</f>
        <v>0</v>
      </c>
      <c r="O35" s="9">
        <v>0</v>
      </c>
      <c r="P35" s="18">
        <f t="shared" si="19"/>
        <v>0</v>
      </c>
      <c r="Q35" s="16">
        <f t="shared" si="17"/>
        <v>1</v>
      </c>
      <c r="R35" s="61" t="str">
        <f>VLOOKUP($C35,Items!$A$2:$AE$10014,11,FALSE)</f>
        <v>Material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22"/>
      <c r="DZ35" s="22"/>
      <c r="EA35" s="22"/>
      <c r="EB35" s="22"/>
      <c r="EC35" s="22"/>
      <c r="ED35" s="22"/>
      <c r="EE35" s="22"/>
      <c r="EF35" s="22"/>
      <c r="EG35" s="22"/>
      <c r="EH35" s="22"/>
      <c r="EI35" s="22"/>
      <c r="EJ35" s="22"/>
      <c r="EK35" s="22"/>
      <c r="EL35" s="22"/>
      <c r="EM35" s="22"/>
      <c r="EN35" s="22"/>
      <c r="EO35" s="22"/>
      <c r="EP35" s="22"/>
      <c r="EQ35" s="22"/>
      <c r="ER35" s="22"/>
    </row>
    <row r="36" spans="1:148" x14ac:dyDescent="0.25">
      <c r="A36" s="6">
        <f>1*A31</f>
        <v>1</v>
      </c>
      <c r="B36" s="7" t="str">
        <f>VLOOKUP($C36,Items!$A$2:$AE$10014,5,FALSE)</f>
        <v>ea</v>
      </c>
      <c r="C36" s="41" t="s">
        <v>243</v>
      </c>
      <c r="D36" s="6" t="s">
        <v>244</v>
      </c>
      <c r="E36" s="28">
        <v>4</v>
      </c>
      <c r="F36" s="28">
        <v>12</v>
      </c>
      <c r="G36" s="28">
        <v>2</v>
      </c>
      <c r="H36" s="28">
        <f>IF(E36=0,+VLOOKUP($C36,Items!$A$2:$AE$10014,9,FALSE),+VLOOKUP($C36,Items!$A$2:$AE$10014,9,FALSE)*E36*F36*G36)</f>
        <v>40.000320000000002</v>
      </c>
      <c r="I36" s="29">
        <f>IF(E36=0,+VLOOKUP($C36,Items!$A$2:$AE$10014,10,FALSE)*A36,(A36*H36))</f>
        <v>40.000320000000002</v>
      </c>
      <c r="J36" s="8">
        <f>IF(E36=0,+VLOOKUP($C36,Items!$A$2:$AE$10014,3,FALSE),+VLOOKUP($C36,Items!$A$2:$AE$10014,3,FALSE)*H36)</f>
        <v>56.000447999999999</v>
      </c>
      <c r="K36" s="16">
        <f t="shared" si="15"/>
        <v>56.000447999999999</v>
      </c>
      <c r="L36" s="36">
        <f t="shared" si="18"/>
        <v>0</v>
      </c>
      <c r="M36" s="16">
        <f t="shared" si="16"/>
        <v>0</v>
      </c>
      <c r="N36" s="17">
        <f>VLOOKUP($C36,Items!$A$2:$AE$10014,4,FALSE)*A36</f>
        <v>0</v>
      </c>
      <c r="O36" s="9">
        <v>0</v>
      </c>
      <c r="P36" s="18">
        <f t="shared" si="19"/>
        <v>0</v>
      </c>
      <c r="Q36" s="16">
        <f t="shared" si="17"/>
        <v>57</v>
      </c>
      <c r="R36" s="61" t="str">
        <f>VLOOKUP($C36,Items!$A$2:$AE$10014,11,FALSE)</f>
        <v>Material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V36" s="22"/>
      <c r="DW36" s="22"/>
      <c r="DX36" s="22"/>
      <c r="DY36" s="22"/>
      <c r="DZ36" s="22"/>
      <c r="EA36" s="22"/>
      <c r="EB36" s="22"/>
      <c r="EC36" s="22"/>
      <c r="ED36" s="22"/>
      <c r="EE36" s="22"/>
      <c r="EF36" s="22"/>
      <c r="EG36" s="22"/>
      <c r="EH36" s="22"/>
      <c r="EI36" s="22"/>
      <c r="EJ36" s="22"/>
      <c r="EK36" s="22"/>
      <c r="EL36" s="22"/>
      <c r="EM36" s="22"/>
      <c r="EN36" s="22"/>
      <c r="EO36" s="22"/>
      <c r="EP36" s="22"/>
      <c r="EQ36" s="22"/>
      <c r="ER36" s="22"/>
    </row>
    <row r="37" spans="1:148" x14ac:dyDescent="0.25"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V37" s="22"/>
      <c r="DW37" s="22"/>
      <c r="DX37" s="22"/>
      <c r="DY37" s="22"/>
      <c r="DZ37" s="22"/>
      <c r="EA37" s="22"/>
      <c r="EB37" s="22"/>
      <c r="EC37" s="22"/>
      <c r="ED37" s="22"/>
      <c r="EE37" s="22"/>
      <c r="EF37" s="22"/>
      <c r="EG37" s="22"/>
      <c r="EH37" s="22"/>
      <c r="EI37" s="22"/>
      <c r="EJ37" s="22"/>
      <c r="EK37" s="22"/>
      <c r="EL37" s="22"/>
      <c r="EM37" s="22"/>
      <c r="EN37" s="22"/>
      <c r="EO37" s="22"/>
      <c r="EP37" s="22"/>
      <c r="EQ37" s="22"/>
      <c r="ER37" s="22"/>
    </row>
    <row r="38" spans="1:148" x14ac:dyDescent="0.25"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V38" s="22"/>
      <c r="DW38" s="22"/>
      <c r="DX38" s="22"/>
      <c r="DY38" s="22"/>
      <c r="DZ38" s="22"/>
      <c r="EA38" s="22"/>
      <c r="EB38" s="22"/>
      <c r="EC38" s="22"/>
      <c r="ED38" s="22"/>
      <c r="EE38" s="22"/>
      <c r="EF38" s="22"/>
      <c r="EG38" s="22"/>
      <c r="EH38" s="22"/>
      <c r="EI38" s="22"/>
      <c r="EJ38" s="22"/>
      <c r="EK38" s="22"/>
      <c r="EL38" s="22"/>
      <c r="EM38" s="22"/>
      <c r="EN38" s="22"/>
      <c r="EO38" s="22"/>
      <c r="EP38" s="22"/>
      <c r="EQ38" s="22"/>
      <c r="ER38" s="22"/>
    </row>
    <row r="39" spans="1:148" x14ac:dyDescent="0.25"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V39" s="22"/>
      <c r="DW39" s="22"/>
      <c r="DX39" s="22"/>
      <c r="DY39" s="22"/>
      <c r="DZ39" s="22"/>
      <c r="EA39" s="22"/>
      <c r="EB39" s="22"/>
      <c r="EC39" s="22"/>
      <c r="ED39" s="22"/>
      <c r="EE39" s="22"/>
      <c r="EF39" s="22"/>
      <c r="EG39" s="22"/>
      <c r="EH39" s="22"/>
      <c r="EI39" s="22"/>
      <c r="EJ39" s="22"/>
      <c r="EK39" s="22"/>
      <c r="EL39" s="22"/>
      <c r="EM39" s="22"/>
      <c r="EN39" s="22"/>
      <c r="EO39" s="22"/>
      <c r="EP39" s="22"/>
      <c r="EQ39" s="22"/>
      <c r="ER39" s="22"/>
    </row>
    <row r="40" spans="1:148" ht="15.75" x14ac:dyDescent="0.25">
      <c r="A40" s="74">
        <v>1</v>
      </c>
      <c r="B40" s="74" t="s">
        <v>0</v>
      </c>
      <c r="C40" s="75" t="s">
        <v>248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22"/>
      <c r="EC40" s="22"/>
      <c r="ED40" s="22"/>
      <c r="EE40" s="22"/>
      <c r="EF40" s="22"/>
      <c r="EG40" s="22"/>
      <c r="EH40" s="22"/>
      <c r="EI40" s="22"/>
      <c r="EJ40" s="22"/>
      <c r="EK40" s="22"/>
      <c r="EL40" s="22"/>
      <c r="EM40" s="22"/>
      <c r="EN40" s="22"/>
      <c r="EO40" s="22"/>
      <c r="EP40" s="22"/>
      <c r="EQ40" s="22"/>
      <c r="ER40" s="22"/>
    </row>
    <row r="41" spans="1:148" ht="39" x14ac:dyDescent="0.25">
      <c r="A41" s="1" t="s">
        <v>7</v>
      </c>
      <c r="B41" s="1" t="s">
        <v>3</v>
      </c>
      <c r="C41" s="1" t="s">
        <v>10</v>
      </c>
      <c r="D41" s="1" t="s">
        <v>4</v>
      </c>
      <c r="E41" s="3" t="s">
        <v>21</v>
      </c>
      <c r="F41" s="3" t="s">
        <v>26</v>
      </c>
      <c r="G41" s="3" t="s">
        <v>27</v>
      </c>
      <c r="H41" s="3" t="s">
        <v>145</v>
      </c>
      <c r="I41" s="3" t="s">
        <v>23</v>
      </c>
      <c r="J41" s="3" t="s">
        <v>146</v>
      </c>
      <c r="K41" s="3" t="s">
        <v>15</v>
      </c>
      <c r="L41" s="3" t="s">
        <v>8</v>
      </c>
      <c r="M41" s="3" t="s">
        <v>5</v>
      </c>
      <c r="N41" s="3" t="s">
        <v>11</v>
      </c>
      <c r="O41" s="3" t="s">
        <v>2</v>
      </c>
      <c r="P41" s="1" t="s">
        <v>1</v>
      </c>
      <c r="Q41" s="3" t="s">
        <v>6</v>
      </c>
      <c r="R41" s="3" t="s">
        <v>18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/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V41" s="22"/>
      <c r="DW41" s="22"/>
      <c r="DX41" s="22"/>
      <c r="DY41" s="22"/>
      <c r="DZ41" s="22"/>
      <c r="EA41" s="22"/>
      <c r="EB41" s="22"/>
      <c r="EC41" s="22"/>
      <c r="ED41" s="22"/>
      <c r="EE41" s="22"/>
      <c r="EF41" s="22"/>
      <c r="EG41" s="22"/>
      <c r="EH41" s="22"/>
      <c r="EI41" s="22"/>
      <c r="EJ41" s="22"/>
      <c r="EK41" s="22"/>
      <c r="EL41" s="22"/>
      <c r="EM41" s="22"/>
      <c r="EN41" s="22"/>
      <c r="EO41" s="22"/>
      <c r="EP41" s="22"/>
      <c r="EQ41" s="22"/>
      <c r="ER41" s="22"/>
    </row>
    <row r="42" spans="1:148" x14ac:dyDescent="0.25">
      <c r="A42" s="6">
        <f>0.167*A40</f>
        <v>0.16700000000000001</v>
      </c>
      <c r="B42" s="7" t="str">
        <f>VLOOKUP($C42,Items!$A$2:$AE$10014,5,FALSE)</f>
        <v>mh</v>
      </c>
      <c r="C42" s="41" t="s">
        <v>49</v>
      </c>
      <c r="D42" s="6" t="s">
        <v>242</v>
      </c>
      <c r="E42" s="28">
        <f>VLOOKUP($C42,Items!$A$2:$AE$10014,6,FALSE)</f>
        <v>0</v>
      </c>
      <c r="F42" s="28">
        <f>VLOOKUP($C42,Items!$A$2:$AE$10014,7,FALSE)</f>
        <v>0</v>
      </c>
      <c r="G42" s="28">
        <f>VLOOKUP($C42,Items!$A$2:$AE$10014,8,FALSE)</f>
        <v>0</v>
      </c>
      <c r="H42" s="28">
        <f>IF(E42=0,+VLOOKUP($C42,Items!$A$2:$AE$10014,9,FALSE),+VLOOKUP($C42,Items!$A$2:$AE$10014,9,FALSE)*E42*F42*G42)</f>
        <v>0</v>
      </c>
      <c r="I42" s="29">
        <f>IF(E42=0,+VLOOKUP($C42,Items!$A$2:$AE$10014,10,FALSE)*A42,(A42*H42))</f>
        <v>0</v>
      </c>
      <c r="J42" s="8">
        <f>IF(E42=0,+VLOOKUP($C42,Items!$A$2:$AE$10014,3,FALSE),+VLOOKUP($C42,Items!$A$2:$AE$10014,3,FALSE)*H42)</f>
        <v>40</v>
      </c>
      <c r="K42" s="16">
        <f t="shared" ref="K42:K45" si="20">A42*J42</f>
        <v>6.6800000000000006</v>
      </c>
      <c r="L42" s="36">
        <f>IF(R42="Labor",$D$2,$D$3)</f>
        <v>0</v>
      </c>
      <c r="M42" s="16">
        <f t="shared" ref="M42:M45" si="21">K42*L42</f>
        <v>0</v>
      </c>
      <c r="N42" s="17">
        <f>VLOOKUP($C42,Items!$A$2:$AE$10014,4,FALSE)*A42</f>
        <v>6.8470000000000004</v>
      </c>
      <c r="O42" s="9">
        <v>0</v>
      </c>
      <c r="P42" s="18">
        <f>IF(O42=1,(K42+M42)*($D$1),0)</f>
        <v>0</v>
      </c>
      <c r="Q42" s="16">
        <f t="shared" ref="Q42:Q45" si="22">ROUNDUP(K42+M42+N42+P42,0)</f>
        <v>14</v>
      </c>
      <c r="R42" s="61" t="str">
        <f>VLOOKUP($C42,Items!$A$2:$AE$10014,11,FALSE)</f>
        <v>Labor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22"/>
      <c r="EH42" s="22"/>
      <c r="EI42" s="22"/>
      <c r="EJ42" s="22"/>
      <c r="EK42" s="22"/>
      <c r="EL42" s="22"/>
      <c r="EM42" s="22"/>
      <c r="EN42" s="22"/>
      <c r="EO42" s="22"/>
      <c r="EP42" s="22"/>
      <c r="EQ42" s="22"/>
      <c r="ER42" s="22"/>
    </row>
    <row r="43" spans="1:148" x14ac:dyDescent="0.25">
      <c r="A43" s="6">
        <f>1*A40</f>
        <v>1</v>
      </c>
      <c r="B43" s="7" t="str">
        <f>VLOOKUP($C43,Items!$A$2:$AE$10014,5,FALSE)</f>
        <v>ea</v>
      </c>
      <c r="C43" s="41" t="s">
        <v>104</v>
      </c>
      <c r="D43" s="6" t="s">
        <v>249</v>
      </c>
      <c r="E43" s="28">
        <f>VLOOKUP($C43,Items!$A$2:$AE$10014,6,FALSE)</f>
        <v>0</v>
      </c>
      <c r="F43" s="28">
        <f>VLOOKUP($C43,Items!$A$2:$AE$10014,7,FALSE)</f>
        <v>0</v>
      </c>
      <c r="G43" s="28">
        <f>VLOOKUP($C43,Items!$A$2:$AE$10014,8,FALSE)</f>
        <v>0</v>
      </c>
      <c r="H43" s="28">
        <f>IF(E43=0,+VLOOKUP($C43,Items!$A$2:$AE$10014,9,FALSE),+VLOOKUP($C43,Items!$A$2:$AE$10014,9,FALSE)*E43*F43*G43)</f>
        <v>0</v>
      </c>
      <c r="I43" s="29">
        <f>IF(E43=0,+VLOOKUP($C43,Items!$A$2:$AE$10014,10,FALSE)*A43,(A43*H43))</f>
        <v>0</v>
      </c>
      <c r="J43" s="8">
        <v>0.214</v>
      </c>
      <c r="K43" s="16">
        <f t="shared" si="20"/>
        <v>0.214</v>
      </c>
      <c r="L43" s="36">
        <f t="shared" ref="L43:L45" si="23">IF(R43="Labor",$D$2,$D$3)</f>
        <v>0</v>
      </c>
      <c r="M43" s="16">
        <f t="shared" si="21"/>
        <v>0</v>
      </c>
      <c r="N43" s="17">
        <f>VLOOKUP($C43,Items!$A$2:$AE$10014,4,FALSE)*A43</f>
        <v>0</v>
      </c>
      <c r="O43" s="9">
        <v>0</v>
      </c>
      <c r="P43" s="18">
        <f t="shared" ref="P43:P45" si="24">IF(O43=1,(K43+M43)*($D$1),0)</f>
        <v>0</v>
      </c>
      <c r="Q43" s="16">
        <f t="shared" si="22"/>
        <v>1</v>
      </c>
      <c r="R43" s="61" t="str">
        <f>VLOOKUP($C43,Items!$A$2:$AE$10014,11,FALSE)</f>
        <v>Material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D43" s="22"/>
      <c r="EE43" s="22"/>
      <c r="EF43" s="22"/>
      <c r="EG43" s="22"/>
      <c r="EH43" s="22"/>
      <c r="EI43" s="22"/>
      <c r="EJ43" s="22"/>
      <c r="EK43" s="22"/>
      <c r="EL43" s="22"/>
      <c r="EM43" s="22"/>
      <c r="EN43" s="22"/>
      <c r="EO43" s="22"/>
      <c r="EP43" s="22"/>
      <c r="EQ43" s="22"/>
      <c r="ER43" s="22"/>
    </row>
    <row r="44" spans="1:148" x14ac:dyDescent="0.25">
      <c r="A44" s="6">
        <f>1*A40</f>
        <v>1</v>
      </c>
      <c r="B44" s="7" t="str">
        <f>VLOOKUP($C44,Items!$A$2:$AE$10014,5,FALSE)</f>
        <v>ea</v>
      </c>
      <c r="C44" s="41" t="s">
        <v>64</v>
      </c>
      <c r="D44" s="6" t="s">
        <v>250</v>
      </c>
      <c r="E44" s="28">
        <f>VLOOKUP($C44,Items!$A$2:$AE$10014,6,FALSE)</f>
        <v>0</v>
      </c>
      <c r="F44" s="28">
        <f>VLOOKUP($C44,Items!$A$2:$AE$10014,7,FALSE)</f>
        <v>0</v>
      </c>
      <c r="G44" s="28">
        <f>VLOOKUP($C44,Items!$A$2:$AE$10014,8,FALSE)</f>
        <v>0</v>
      </c>
      <c r="H44" s="28">
        <f>IF(E44=0,+VLOOKUP($C44,Items!$A$2:$AE$10014,9,FALSE),+VLOOKUP($C44,Items!$A$2:$AE$10014,9,FALSE)*E44*F44*G44)</f>
        <v>0</v>
      </c>
      <c r="I44" s="29">
        <f>IF(E44=0,+VLOOKUP($C44,Items!$A$2:$AE$10014,10,FALSE)*A44,(A44*H44))</f>
        <v>0</v>
      </c>
      <c r="J44" s="8">
        <v>0.29199999999999998</v>
      </c>
      <c r="K44" s="16">
        <f t="shared" si="20"/>
        <v>0.29199999999999998</v>
      </c>
      <c r="L44" s="36">
        <f t="shared" si="23"/>
        <v>0</v>
      </c>
      <c r="M44" s="16">
        <f t="shared" si="21"/>
        <v>0</v>
      </c>
      <c r="N44" s="17">
        <f>VLOOKUP($C44,Items!$A$2:$AE$10014,4,FALSE)*A44</f>
        <v>0</v>
      </c>
      <c r="O44" s="9">
        <v>0</v>
      </c>
      <c r="P44" s="18">
        <f t="shared" si="24"/>
        <v>0</v>
      </c>
      <c r="Q44" s="16">
        <f t="shared" si="22"/>
        <v>1</v>
      </c>
      <c r="R44" s="61" t="str">
        <f>VLOOKUP($C44,Items!$A$2:$AE$10014,11,FALSE)</f>
        <v>Material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V44" s="22"/>
      <c r="DW44" s="22"/>
      <c r="DX44" s="22"/>
      <c r="DY44" s="22"/>
      <c r="DZ44" s="22"/>
      <c r="EA44" s="22"/>
      <c r="EB44" s="22"/>
      <c r="EC44" s="22"/>
      <c r="ED44" s="22"/>
      <c r="EE44" s="22"/>
      <c r="EF44" s="22"/>
      <c r="EG44" s="22"/>
      <c r="EH44" s="22"/>
      <c r="EI44" s="22"/>
      <c r="EJ44" s="22"/>
      <c r="EK44" s="22"/>
      <c r="EL44" s="22"/>
      <c r="EM44" s="22"/>
      <c r="EN44" s="22"/>
      <c r="EO44" s="22"/>
      <c r="EP44" s="22"/>
      <c r="EQ44" s="22"/>
      <c r="ER44" s="22"/>
    </row>
    <row r="45" spans="1:148" x14ac:dyDescent="0.25">
      <c r="A45" s="6">
        <f>1*A40</f>
        <v>1</v>
      </c>
      <c r="B45" s="7" t="str">
        <f>VLOOKUP($C45,Items!$A$2:$AE$10014,5,FALSE)</f>
        <v>ea</v>
      </c>
      <c r="C45" s="41" t="s">
        <v>243</v>
      </c>
      <c r="D45" s="6" t="s">
        <v>244</v>
      </c>
      <c r="E45" s="28">
        <v>4</v>
      </c>
      <c r="F45" s="28">
        <v>12</v>
      </c>
      <c r="G45" s="28">
        <v>2.5</v>
      </c>
      <c r="H45" s="28">
        <f>IF(E45=0,+VLOOKUP($C45,Items!$A$2:$AE$10014,9,FALSE),+VLOOKUP($C45,Items!$A$2:$AE$10014,9,FALSE)*E45*F45*G45)</f>
        <v>50.000399999999999</v>
      </c>
      <c r="I45" s="29">
        <f>IF(E45=0,+VLOOKUP($C45,Items!$A$2:$AE$10014,10,FALSE)*A45,(A45*H45))</f>
        <v>50.000399999999999</v>
      </c>
      <c r="J45" s="8">
        <f>IF(E45=0,+VLOOKUP($C45,Items!$A$2:$AE$10014,3,FALSE),+VLOOKUP($C45,Items!$A$2:$AE$10014,3,FALSE)*H45)</f>
        <v>70.000559999999993</v>
      </c>
      <c r="K45" s="16">
        <f t="shared" si="20"/>
        <v>70.000559999999993</v>
      </c>
      <c r="L45" s="36">
        <f t="shared" si="23"/>
        <v>0</v>
      </c>
      <c r="M45" s="16">
        <f t="shared" si="21"/>
        <v>0</v>
      </c>
      <c r="N45" s="17">
        <f>VLOOKUP($C45,Items!$A$2:$AE$10014,4,FALSE)*A45</f>
        <v>0</v>
      </c>
      <c r="O45" s="9">
        <v>0</v>
      </c>
      <c r="P45" s="18">
        <f t="shared" si="24"/>
        <v>0</v>
      </c>
      <c r="Q45" s="16">
        <f t="shared" si="22"/>
        <v>71</v>
      </c>
      <c r="R45" s="61" t="str">
        <f>VLOOKUP($C45,Items!$A$2:$AE$10014,11,FALSE)</f>
        <v>Material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V45" s="22"/>
      <c r="DW45" s="22"/>
      <c r="DX45" s="22"/>
      <c r="DY45" s="22"/>
      <c r="DZ45" s="22"/>
      <c r="EA45" s="22"/>
      <c r="EB45" s="22"/>
      <c r="EC45" s="22"/>
      <c r="ED45" s="22"/>
      <c r="EE45" s="22"/>
      <c r="EF45" s="22"/>
      <c r="EG45" s="22"/>
      <c r="EH45" s="22"/>
      <c r="EI45" s="22"/>
      <c r="EJ45" s="22"/>
      <c r="EK45" s="22"/>
      <c r="EL45" s="22"/>
      <c r="EM45" s="22"/>
      <c r="EN45" s="22"/>
      <c r="EO45" s="22"/>
      <c r="EP45" s="22"/>
      <c r="EQ45" s="22"/>
      <c r="ER45" s="22"/>
    </row>
  </sheetData>
  <conditionalFormatting sqref="E6:G9">
    <cfRule type="cellIs" dxfId="121" priority="34" operator="lessThanOrEqual">
      <formula>0.0001</formula>
    </cfRule>
  </conditionalFormatting>
  <conditionalFormatting sqref="B6:B9">
    <cfRule type="cellIs" dxfId="120" priority="33" operator="equal">
      <formula>0</formula>
    </cfRule>
  </conditionalFormatting>
  <conditionalFormatting sqref="D6:D9">
    <cfRule type="cellIs" dxfId="119" priority="32" operator="equal">
      <formula>0</formula>
    </cfRule>
  </conditionalFormatting>
  <conditionalFormatting sqref="H6:I9">
    <cfRule type="cellIs" dxfId="118" priority="31" operator="equal">
      <formula>$E6</formula>
    </cfRule>
  </conditionalFormatting>
  <conditionalFormatting sqref="I6">
    <cfRule type="cellIs" dxfId="117" priority="30" operator="equal">
      <formula>$E6</formula>
    </cfRule>
  </conditionalFormatting>
  <conditionalFormatting sqref="R6:R9">
    <cfRule type="cellIs" dxfId="116" priority="29" operator="lessThanOrEqual">
      <formula>0.001</formula>
    </cfRule>
  </conditionalFormatting>
  <conditionalFormatting sqref="E15:G18">
    <cfRule type="cellIs" dxfId="115" priority="28" operator="lessThanOrEqual">
      <formula>0.0001</formula>
    </cfRule>
  </conditionalFormatting>
  <conditionalFormatting sqref="B15:B18">
    <cfRule type="cellIs" dxfId="114" priority="27" operator="equal">
      <formula>0</formula>
    </cfRule>
  </conditionalFormatting>
  <conditionalFormatting sqref="D15:D18">
    <cfRule type="cellIs" dxfId="113" priority="26" operator="equal">
      <formula>0</formula>
    </cfRule>
  </conditionalFormatting>
  <conditionalFormatting sqref="H15:I18">
    <cfRule type="cellIs" dxfId="112" priority="25" operator="equal">
      <formula>$E15</formula>
    </cfRule>
  </conditionalFormatting>
  <conditionalFormatting sqref="I15">
    <cfRule type="cellIs" dxfId="111" priority="24" operator="equal">
      <formula>$E15</formula>
    </cfRule>
  </conditionalFormatting>
  <conditionalFormatting sqref="R15:R18">
    <cfRule type="cellIs" dxfId="110" priority="23" operator="lessThanOrEqual">
      <formula>0.001</formula>
    </cfRule>
  </conditionalFormatting>
  <conditionalFormatting sqref="E24:G27">
    <cfRule type="cellIs" dxfId="109" priority="22" operator="lessThanOrEqual">
      <formula>0.0001</formula>
    </cfRule>
  </conditionalFormatting>
  <conditionalFormatting sqref="B24:B27">
    <cfRule type="cellIs" dxfId="108" priority="21" operator="equal">
      <formula>0</formula>
    </cfRule>
  </conditionalFormatting>
  <conditionalFormatting sqref="D24:D27">
    <cfRule type="cellIs" dxfId="107" priority="20" operator="equal">
      <formula>0</formula>
    </cfRule>
  </conditionalFormatting>
  <conditionalFormatting sqref="H24:I27">
    <cfRule type="cellIs" dxfId="106" priority="19" operator="equal">
      <formula>$E24</formula>
    </cfRule>
  </conditionalFormatting>
  <conditionalFormatting sqref="I24">
    <cfRule type="cellIs" dxfId="105" priority="18" operator="equal">
      <formula>$E24</formula>
    </cfRule>
  </conditionalFormatting>
  <conditionalFormatting sqref="R24:R27">
    <cfRule type="cellIs" dxfId="104" priority="17" operator="lessThanOrEqual">
      <formula>0.001</formula>
    </cfRule>
  </conditionalFormatting>
  <conditionalFormatting sqref="E33:G36">
    <cfRule type="cellIs" dxfId="103" priority="16" operator="lessThanOrEqual">
      <formula>0.0001</formula>
    </cfRule>
  </conditionalFormatting>
  <conditionalFormatting sqref="B33:B36">
    <cfRule type="cellIs" dxfId="102" priority="15" operator="equal">
      <formula>0</formula>
    </cfRule>
  </conditionalFormatting>
  <conditionalFormatting sqref="D33:D36">
    <cfRule type="cellIs" dxfId="101" priority="14" operator="equal">
      <formula>0</formula>
    </cfRule>
  </conditionalFormatting>
  <conditionalFormatting sqref="H33:I36">
    <cfRule type="cellIs" dxfId="100" priority="13" operator="equal">
      <formula>$E33</formula>
    </cfRule>
  </conditionalFormatting>
  <conditionalFormatting sqref="I33">
    <cfRule type="cellIs" dxfId="99" priority="12" operator="equal">
      <formula>$E33</formula>
    </cfRule>
  </conditionalFormatting>
  <conditionalFormatting sqref="R33:R36">
    <cfRule type="cellIs" dxfId="98" priority="11" operator="lessThanOrEqual">
      <formula>0.001</formula>
    </cfRule>
  </conditionalFormatting>
  <conditionalFormatting sqref="E42:G45">
    <cfRule type="cellIs" dxfId="97" priority="10" operator="lessThanOrEqual">
      <formula>0.0001</formula>
    </cfRule>
  </conditionalFormatting>
  <conditionalFormatting sqref="B42:B45">
    <cfRule type="cellIs" dxfId="96" priority="9" operator="equal">
      <formula>0</formula>
    </cfRule>
  </conditionalFormatting>
  <conditionalFormatting sqref="D42:D45">
    <cfRule type="cellIs" dxfId="95" priority="8" operator="equal">
      <formula>0</formula>
    </cfRule>
  </conditionalFormatting>
  <conditionalFormatting sqref="H42:I45">
    <cfRule type="cellIs" dxfId="94" priority="7" operator="equal">
      <formula>$E42</formula>
    </cfRule>
  </conditionalFormatting>
  <conditionalFormatting sqref="I42">
    <cfRule type="cellIs" dxfId="93" priority="6" operator="equal">
      <formula>$E42</formula>
    </cfRule>
  </conditionalFormatting>
  <conditionalFormatting sqref="R42:R45">
    <cfRule type="cellIs" dxfId="92" priority="5" operator="lessThanOrEqual">
      <formula>0.001</formula>
    </cfRule>
  </conditionalFormatting>
  <conditionalFormatting sqref="D15:D18">
    <cfRule type="cellIs" dxfId="91" priority="4" operator="equal">
      <formula>0</formula>
    </cfRule>
  </conditionalFormatting>
  <conditionalFormatting sqref="D24:D27">
    <cfRule type="cellIs" dxfId="90" priority="3" operator="equal">
      <formula>0</formula>
    </cfRule>
  </conditionalFormatting>
  <conditionalFormatting sqref="D33:D36">
    <cfRule type="cellIs" dxfId="89" priority="2" operator="equal">
      <formula>0</formula>
    </cfRule>
  </conditionalFormatting>
  <conditionalFormatting sqref="D42:D45">
    <cfRule type="cellIs" dxfId="88" priority="1" operator="equal">
      <formula>0</formula>
    </cfRule>
  </conditionalFormatting>
  <pageMargins left="0.7" right="0.7" top="0.75" bottom="0.75" header="0.3" footer="0.3"/>
  <pageSetup scale="1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D4C4180-EFBC-4A6A-A6B8-D3545913BD83}">
          <x14:formula1>
            <xm:f>Items!A24:A100032</xm:f>
          </x14:formula1>
          <xm:sqref>C42:C45 C24:C27 C33:C36</xm:sqref>
        </x14:dataValidation>
        <x14:dataValidation type="list" allowBlank="1" showInputMessage="1" showErrorMessage="1" xr:uid="{0325834F-B3F6-4D7B-844C-107061539569}">
          <x14:formula1>
            <xm:f>Items!A2:A100014</xm:f>
          </x14:formula1>
          <xm:sqref>C6:C9 C15:C18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4:ER13"/>
  <sheetViews>
    <sheetView workbookViewId="0">
      <selection activeCell="A14" sqref="A14"/>
    </sheetView>
  </sheetViews>
  <sheetFormatPr defaultRowHeight="15" x14ac:dyDescent="0.25"/>
  <cols>
    <col min="3" max="3" width="29.42578125" bestFit="1" customWidth="1"/>
    <col min="4" max="4" width="24.28515625" customWidth="1"/>
  </cols>
  <sheetData>
    <row r="4" spans="1:148" ht="15.75" x14ac:dyDescent="0.25">
      <c r="A4" s="74">
        <v>1</v>
      </c>
      <c r="B4" s="74" t="s">
        <v>0</v>
      </c>
      <c r="C4" s="75" t="s">
        <v>268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48" ht="39" x14ac:dyDescent="0.25">
      <c r="A5" s="1" t="s">
        <v>7</v>
      </c>
      <c r="B5" s="1" t="s">
        <v>3</v>
      </c>
      <c r="C5" s="1" t="s">
        <v>10</v>
      </c>
      <c r="D5" s="1" t="s">
        <v>4</v>
      </c>
      <c r="E5" s="3" t="s">
        <v>21</v>
      </c>
      <c r="F5" s="3" t="s">
        <v>26</v>
      </c>
      <c r="G5" s="3" t="s">
        <v>27</v>
      </c>
      <c r="H5" s="3" t="s">
        <v>145</v>
      </c>
      <c r="I5" s="3" t="s">
        <v>23</v>
      </c>
      <c r="J5" s="3" t="s">
        <v>146</v>
      </c>
      <c r="K5" s="3" t="s">
        <v>15</v>
      </c>
      <c r="L5" s="3" t="s">
        <v>8</v>
      </c>
      <c r="M5" s="3" t="s">
        <v>5</v>
      </c>
      <c r="N5" s="3" t="s">
        <v>11</v>
      </c>
      <c r="O5" s="3" t="s">
        <v>2</v>
      </c>
      <c r="P5" s="1" t="s">
        <v>1</v>
      </c>
      <c r="Q5" s="3" t="s">
        <v>6</v>
      </c>
      <c r="R5" s="3" t="s">
        <v>18</v>
      </c>
    </row>
    <row r="6" spans="1:148" x14ac:dyDescent="0.25">
      <c r="A6" s="6">
        <f>A4*1</f>
        <v>1</v>
      </c>
      <c r="B6" s="7" t="str">
        <f>VLOOKUP($C6,Items!$A$2:$AE$10014,5,FALSE)</f>
        <v>ea</v>
      </c>
      <c r="C6" s="41" t="s">
        <v>265</v>
      </c>
      <c r="D6" s="6" t="str">
        <f>VLOOKUP($C6,Items!$A$2:$AE$10014,2,FALSE)</f>
        <v>3/4" Particle Board</v>
      </c>
      <c r="E6" s="28">
        <f>VLOOKUP($C6,Items!$A$2:$AE$10014,6,FALSE)</f>
        <v>0</v>
      </c>
      <c r="F6" s="28">
        <f>VLOOKUP($C6,Items!$A$2:$AE$10014,7,FALSE)</f>
        <v>0</v>
      </c>
      <c r="G6" s="28">
        <f>VLOOKUP($C6,Items!$A$2:$AE$10014,8,FALSE)</f>
        <v>0</v>
      </c>
      <c r="H6" s="28">
        <f>IF(E6=0,+VLOOKUP($C6,Items!$A$2:$AE$10014,9,FALSE),+VLOOKUP($C6,Items!$A$2:$AE$10014,9,FALSE)*E6*F6*G6)</f>
        <v>0</v>
      </c>
      <c r="I6" s="29">
        <f>IF(E6=0,+VLOOKUP($C6,Items!$A$2:$AE$10014,10,FALSE)*A6,(A6*H6))</f>
        <v>0</v>
      </c>
      <c r="J6" s="8">
        <f>IF(E6=0,+VLOOKUP($C6,Items!$A$2:$AE$10014,3,FALSE),+VLOOKUP($C6,Items!$A$2:$AE$10014,3,FALSE)*H6)</f>
        <v>18</v>
      </c>
      <c r="K6" s="16">
        <f t="shared" ref="K6" si="0">A6*J6</f>
        <v>18</v>
      </c>
      <c r="L6" s="36">
        <f t="shared" ref="L6" si="1">IF(R6="Labor",$D$2,$D$3)</f>
        <v>0</v>
      </c>
      <c r="M6" s="16">
        <f t="shared" ref="M6" si="2">K6*L6</f>
        <v>0</v>
      </c>
      <c r="N6" s="17">
        <f>VLOOKUP($C6,Items!$A$2:$AE$10014,4,FALSE)*A6</f>
        <v>0</v>
      </c>
      <c r="O6" s="9">
        <v>0</v>
      </c>
      <c r="P6" s="18">
        <f t="shared" ref="P6" si="3">IF(O6=1,(K6+M6)*($D$1),0)</f>
        <v>0</v>
      </c>
      <c r="Q6" s="16">
        <f t="shared" ref="Q6" si="4">ROUNDUP(K6+M6+N6+P6,0)</f>
        <v>18</v>
      </c>
      <c r="R6" s="61" t="str">
        <f>VLOOKUP($C6,Items!$A$2:$AE$10014,11,FALSE)</f>
        <v>Material</v>
      </c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 s="22"/>
      <c r="DB6" s="22"/>
      <c r="DC6" s="22"/>
      <c r="DD6" s="22"/>
      <c r="DE6" s="22"/>
      <c r="DF6" s="22"/>
      <c r="DG6" s="22"/>
      <c r="DH6" s="22"/>
      <c r="DI6" s="22"/>
      <c r="DJ6" s="22"/>
      <c r="DK6" s="22"/>
      <c r="DL6" s="22"/>
      <c r="DM6" s="22"/>
      <c r="DN6" s="22"/>
      <c r="DO6" s="22"/>
      <c r="DP6" s="22"/>
      <c r="DQ6" s="22"/>
      <c r="DR6" s="22"/>
      <c r="DS6" s="22"/>
      <c r="DT6" s="22"/>
      <c r="DU6" s="22"/>
      <c r="DV6" s="22"/>
      <c r="DW6" s="22"/>
      <c r="DX6" s="22"/>
      <c r="DY6" s="22"/>
      <c r="DZ6" s="22"/>
      <c r="EA6" s="22"/>
      <c r="EB6" s="22"/>
      <c r="EC6" s="22"/>
      <c r="ED6" s="22"/>
      <c r="EE6" s="22"/>
      <c r="EF6" s="22"/>
      <c r="EG6" s="22"/>
      <c r="EH6" s="22"/>
      <c r="EI6" s="22"/>
      <c r="EJ6" s="22"/>
      <c r="EK6" s="22"/>
      <c r="EL6" s="22"/>
      <c r="EM6" s="22"/>
      <c r="EN6" s="22"/>
      <c r="EO6" s="22"/>
      <c r="EP6" s="22"/>
      <c r="EQ6" s="22"/>
      <c r="ER6" s="22"/>
    </row>
    <row r="7" spans="1:148" x14ac:dyDescent="0.25">
      <c r="A7" s="6">
        <f>A4*1</f>
        <v>1</v>
      </c>
      <c r="B7" s="7" t="str">
        <f>VLOOKUP($C7,Items!$A$2:$AE$10014,5,FALSE)</f>
        <v>ea</v>
      </c>
      <c r="C7" s="41" t="s">
        <v>266</v>
      </c>
      <c r="D7" s="6" t="str">
        <f>VLOOKUP($C7,Items!$A$2:$AE$10014,2,FALSE)</f>
        <v>5/8" Particle Board</v>
      </c>
      <c r="E7" s="28">
        <f>VLOOKUP($C7,Items!$A$2:$AE$10014,6,FALSE)</f>
        <v>0</v>
      </c>
      <c r="F7" s="28">
        <f>VLOOKUP($C7,Items!$A$2:$AE$10014,7,FALSE)</f>
        <v>0</v>
      </c>
      <c r="G7" s="28">
        <f>VLOOKUP($C7,Items!$A$2:$AE$10014,8,FALSE)</f>
        <v>0</v>
      </c>
      <c r="H7" s="28">
        <f>IF(E7=0,+VLOOKUP($C7,Items!$A$2:$AE$10014,9,FALSE),+VLOOKUP($C7,Items!$A$2:$AE$10014,9,FALSE)*E7*F7*G7)</f>
        <v>0</v>
      </c>
      <c r="I7" s="29">
        <f>IF(E7=0,+VLOOKUP($C7,Items!$A$2:$AE$10014,10,FALSE)*A7,(A7*H7))</f>
        <v>0</v>
      </c>
      <c r="J7" s="8">
        <f>IF(E7=0,+VLOOKUP($C7,Items!$A$2:$AE$10014,3,FALSE),+VLOOKUP($C7,Items!$A$2:$AE$10014,3,FALSE)*H7)</f>
        <v>14</v>
      </c>
      <c r="K7" s="16">
        <f t="shared" ref="K7" si="5">A7*J7</f>
        <v>14</v>
      </c>
      <c r="L7" s="36">
        <f t="shared" ref="L7" si="6">IF(R7="Labor",$D$2,$D$3)</f>
        <v>0</v>
      </c>
      <c r="M7" s="16">
        <f t="shared" ref="M7" si="7">K7*L7</f>
        <v>0</v>
      </c>
      <c r="N7" s="17">
        <f>VLOOKUP($C7,Items!$A$2:$AE$10014,4,FALSE)*A7</f>
        <v>0</v>
      </c>
      <c r="O7" s="9">
        <v>0</v>
      </c>
      <c r="P7" s="18">
        <f t="shared" ref="P7" si="8">IF(O7=1,(K7+M7)*($D$1),0)</f>
        <v>0</v>
      </c>
      <c r="Q7" s="16">
        <f t="shared" ref="Q7" si="9">ROUNDUP(K7+M7+N7+P7,0)</f>
        <v>14</v>
      </c>
      <c r="R7" s="61" t="str">
        <f>VLOOKUP($C7,Items!$A$2:$AE$10014,11,FALSE)</f>
        <v>Material</v>
      </c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22"/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22"/>
      <c r="EL7" s="22"/>
      <c r="EM7" s="22"/>
      <c r="EN7" s="22"/>
      <c r="EO7" s="22"/>
      <c r="EP7" s="22"/>
      <c r="EQ7" s="22"/>
      <c r="ER7" s="22"/>
    </row>
    <row r="8" spans="1:148" x14ac:dyDescent="0.25">
      <c r="A8" s="6">
        <f>A4*20</f>
        <v>20</v>
      </c>
      <c r="B8" s="7" t="str">
        <f>VLOOKUP($C8,Items!$A$2:$AE$10014,5,FALSE)</f>
        <v>bdft</v>
      </c>
      <c r="C8" s="41" t="s">
        <v>65</v>
      </c>
      <c r="D8" s="6">
        <f>VLOOKUP($C8,Items!$A$2:$AE$10014,2,FALSE)</f>
        <v>0</v>
      </c>
      <c r="E8" s="28">
        <f>VLOOKUP($C8,Items!$A$2:$AE$10014,6,FALSE)</f>
        <v>0</v>
      </c>
      <c r="F8" s="28">
        <f>VLOOKUP($C8,Items!$A$2:$AE$10014,7,FALSE)</f>
        <v>0</v>
      </c>
      <c r="G8" s="28">
        <f>VLOOKUP($C8,Items!$A$2:$AE$10014,8,FALSE)</f>
        <v>0</v>
      </c>
      <c r="H8" s="28">
        <f>IF(E8=0,+VLOOKUP($C8,Items!$A$2:$AE$10014,9,FALSE),+VLOOKUP($C8,Items!$A$2:$AE$10014,9,FALSE)*E8*F8*G8)</f>
        <v>0</v>
      </c>
      <c r="I8" s="29">
        <f>IF(E8=0,+VLOOKUP($C8,Items!$A$2:$AE$10014,10,FALSE)*A8,(A8*H8))</f>
        <v>0</v>
      </c>
      <c r="J8" s="8">
        <f>IF(E8=0,+VLOOKUP($C8,Items!$A$2:$AE$10014,3,FALSE),+VLOOKUP($C8,Items!$A$2:$AE$10014,3,FALSE)*H8)</f>
        <v>0</v>
      </c>
      <c r="K8" s="16">
        <f t="shared" ref="K8" si="10">A8*J8</f>
        <v>0</v>
      </c>
      <c r="L8" s="36">
        <f t="shared" ref="L8" si="11">IF(R8="Labor",$D$2,$D$3)</f>
        <v>0</v>
      </c>
      <c r="M8" s="16">
        <f t="shared" ref="M8" si="12">K8*L8</f>
        <v>0</v>
      </c>
      <c r="N8" s="17">
        <f>VLOOKUP($C8,Items!$A$2:$AE$10014,4,FALSE)*A8</f>
        <v>0</v>
      </c>
      <c r="O8" s="9">
        <v>0</v>
      </c>
      <c r="P8" s="18">
        <f t="shared" ref="P8" si="13">IF(O8=1,(K8+M8)*($D$1),0)</f>
        <v>0</v>
      </c>
      <c r="Q8" s="16">
        <f t="shared" ref="Q8" si="14">ROUNDUP(K8+M8+N8+P8,0)</f>
        <v>0</v>
      </c>
      <c r="R8" s="61" t="str">
        <f>VLOOKUP($C8,Items!$A$2:$AE$10014,11,FALSE)</f>
        <v>Material</v>
      </c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</row>
    <row r="9" spans="1:148" x14ac:dyDescent="0.25">
      <c r="A9" s="6">
        <f>A4*22</f>
        <v>22</v>
      </c>
      <c r="B9" s="7" t="str">
        <f>VLOOKUP($C9,Items!$A$2:$AE$10014,5,FALSE)</f>
        <v>ea</v>
      </c>
      <c r="C9" s="41" t="s">
        <v>66</v>
      </c>
      <c r="D9" s="6">
        <f>VLOOKUP($C9,Items!$A$2:$AE$10014,2,FALSE)</f>
        <v>0</v>
      </c>
      <c r="E9" s="28">
        <f>VLOOKUP($C9,Items!$A$2:$AE$10014,6,FALSE)</f>
        <v>0</v>
      </c>
      <c r="F9" s="28">
        <f>VLOOKUP($C9,Items!$A$2:$AE$10014,7,FALSE)</f>
        <v>0</v>
      </c>
      <c r="G9" s="28">
        <f>VLOOKUP($C9,Items!$A$2:$AE$10014,8,FALSE)</f>
        <v>0</v>
      </c>
      <c r="H9" s="28">
        <f>IF(E9=0,+VLOOKUP($C9,Items!$A$2:$AE$10014,9,FALSE),+VLOOKUP($C9,Items!$A$2:$AE$10014,9,FALSE)*E9*F9*G9)</f>
        <v>0</v>
      </c>
      <c r="I9" s="29">
        <f>IF(E9=0,+VLOOKUP($C9,Items!$A$2:$AE$10014,10,FALSE)*A9,(A9*H9))</f>
        <v>0</v>
      </c>
      <c r="J9" s="8">
        <f>IF(E9=0,+VLOOKUP($C9,Items!$A$2:$AE$10014,3,FALSE),+VLOOKUP($C9,Items!$A$2:$AE$10014,3,FALSE)*H9)</f>
        <v>0</v>
      </c>
      <c r="K9" s="16">
        <f t="shared" ref="K9" si="15">A9*J9</f>
        <v>0</v>
      </c>
      <c r="L9" s="36">
        <f t="shared" ref="L9" si="16">IF(R9="Labor",$D$2,$D$3)</f>
        <v>0</v>
      </c>
      <c r="M9" s="16">
        <f t="shared" ref="M9" si="17">K9*L9</f>
        <v>0</v>
      </c>
      <c r="N9" s="17">
        <f>VLOOKUP($C9,Items!$A$2:$AE$10014,4,FALSE)*A9</f>
        <v>0</v>
      </c>
      <c r="O9" s="9">
        <v>0</v>
      </c>
      <c r="P9" s="18">
        <f t="shared" ref="P9" si="18">IF(O9=1,(K9+M9)*($D$1),0)</f>
        <v>0</v>
      </c>
      <c r="Q9" s="16">
        <f t="shared" ref="Q9" si="19">ROUNDUP(K9+M9+N9+P9,0)</f>
        <v>0</v>
      </c>
      <c r="R9" s="61" t="str">
        <f>VLOOKUP($C9,Items!$A$2:$AE$10014,11,FALSE)</f>
        <v>Material</v>
      </c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</row>
    <row r="10" spans="1:148" x14ac:dyDescent="0.25">
      <c r="A10" s="6">
        <f>A4*2</f>
        <v>2</v>
      </c>
      <c r="B10" s="7" t="str">
        <f>VLOOKUP($C10,Items!$A$2:$AE$10014,5,FALSE)</f>
        <v>ea</v>
      </c>
      <c r="C10" s="41" t="s">
        <v>105</v>
      </c>
      <c r="D10" s="6">
        <f>VLOOKUP($C10,Items!$A$2:$AE$10014,2,FALSE)</f>
        <v>0</v>
      </c>
      <c r="E10" s="28">
        <f>VLOOKUP($C10,Items!$A$2:$AE$10014,6,FALSE)</f>
        <v>0</v>
      </c>
      <c r="F10" s="28">
        <f>VLOOKUP($C10,Items!$A$2:$AE$10014,7,FALSE)</f>
        <v>0</v>
      </c>
      <c r="G10" s="28">
        <f>VLOOKUP($C10,Items!$A$2:$AE$10014,8,FALSE)</f>
        <v>0</v>
      </c>
      <c r="H10" s="28">
        <f>IF(E10=0,+VLOOKUP($C10,Items!$A$2:$AE$10014,9,FALSE),+VLOOKUP($C10,Items!$A$2:$AE$10014,9,FALSE)*E10*F10*G10)</f>
        <v>0</v>
      </c>
      <c r="I10" s="29">
        <f>IF(E10=0,+VLOOKUP($C10,Items!$A$2:$AE$10014,10,FALSE)*A10,(A10*H10))</f>
        <v>0</v>
      </c>
      <c r="J10" s="8">
        <f>IF(E10=0,+VLOOKUP($C10,Items!$A$2:$AE$10014,3,FALSE),+VLOOKUP($C10,Items!$A$2:$AE$10014,3,FALSE)*H10)</f>
        <v>70</v>
      </c>
      <c r="K10" s="16">
        <f t="shared" ref="K10" si="20">A10*J10</f>
        <v>140</v>
      </c>
      <c r="L10" s="36">
        <f t="shared" ref="L10" si="21">IF(R10="Labor",$D$2,$D$3)</f>
        <v>0</v>
      </c>
      <c r="M10" s="16">
        <f t="shared" ref="M10" si="22">K10*L10</f>
        <v>0</v>
      </c>
      <c r="N10" s="17">
        <f>VLOOKUP($C10,Items!$A$2:$AE$10014,4,FALSE)*A10</f>
        <v>0</v>
      </c>
      <c r="O10" s="9">
        <v>0</v>
      </c>
      <c r="P10" s="18">
        <f t="shared" ref="P10" si="23">IF(O10=1,(K10+M10)*($D$1),0)</f>
        <v>0</v>
      </c>
      <c r="Q10" s="16">
        <f t="shared" ref="Q10" si="24">ROUNDUP(K10+M10+N10+P10,0)</f>
        <v>140</v>
      </c>
      <c r="R10" s="61" t="str">
        <f>VLOOKUP($C10,Items!$A$2:$AE$10014,11,FALSE)</f>
        <v>Material</v>
      </c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/>
      <c r="EA10" s="22"/>
      <c r="EB10" s="22"/>
      <c r="EC10" s="22"/>
      <c r="ED10" s="22"/>
      <c r="EE10" s="22"/>
      <c r="EF10" s="22"/>
      <c r="EG10" s="22"/>
      <c r="EH10" s="22"/>
      <c r="EI10" s="22"/>
      <c r="EJ10" s="22"/>
      <c r="EK10" s="22"/>
      <c r="EL10" s="22"/>
      <c r="EM10" s="22"/>
      <c r="EN10" s="22"/>
      <c r="EO10" s="22"/>
      <c r="EP10" s="22"/>
      <c r="EQ10" s="22"/>
      <c r="ER10" s="22"/>
    </row>
    <row r="11" spans="1:148" x14ac:dyDescent="0.25">
      <c r="A11" s="6">
        <f>A4*0.1</f>
        <v>0.1</v>
      </c>
      <c r="B11" s="7" t="str">
        <f>VLOOKUP($C11,Items!$A$2:$AE$10014,5,FALSE)</f>
        <v>can</v>
      </c>
      <c r="C11" s="41" t="s">
        <v>53</v>
      </c>
      <c r="D11" s="6" t="str">
        <f>VLOOKUP($C11,Items!$A$2:$AE$10014,2,FALSE)</f>
        <v>Bond Rite Adhesive</v>
      </c>
      <c r="E11" s="28">
        <f>VLOOKUP($C11,Items!$A$2:$AE$10014,6,FALSE)</f>
        <v>0</v>
      </c>
      <c r="F11" s="28">
        <f>VLOOKUP($C11,Items!$A$2:$AE$10014,7,FALSE)</f>
        <v>0</v>
      </c>
      <c r="G11" s="28">
        <f>VLOOKUP($C11,Items!$A$2:$AE$10014,8,FALSE)</f>
        <v>0</v>
      </c>
      <c r="H11" s="28">
        <f>IF(E11=0,+VLOOKUP($C11,Items!$A$2:$AE$10014,9,FALSE),+VLOOKUP($C11,Items!$A$2:$AE$10014,9,FALSE)*E11*F11*G11)</f>
        <v>0</v>
      </c>
      <c r="I11" s="29">
        <f>IF(E11=0,+VLOOKUP($C11,Items!$A$2:$AE$10014,10,FALSE)*A11,(A11*H11))</f>
        <v>0</v>
      </c>
      <c r="J11" s="8">
        <f>IF(E11=0,+VLOOKUP($C11,Items!$A$2:$AE$10014,3,FALSE),+VLOOKUP($C11,Items!$A$2:$AE$10014,3,FALSE)*H11)</f>
        <v>425</v>
      </c>
      <c r="K11" s="16">
        <f t="shared" ref="K11:K12" si="25">A11*J11</f>
        <v>42.5</v>
      </c>
      <c r="L11" s="36">
        <f t="shared" ref="L11:L12" si="26">IF(R11="Labor",$D$2,$D$3)</f>
        <v>0</v>
      </c>
      <c r="M11" s="16">
        <f t="shared" ref="M11:M12" si="27">K11*L11</f>
        <v>0</v>
      </c>
      <c r="N11" s="17">
        <f>VLOOKUP($C11,Items!$A$2:$AE$10014,4,FALSE)*A11</f>
        <v>0</v>
      </c>
      <c r="O11" s="9">
        <v>0</v>
      </c>
      <c r="P11" s="18">
        <f t="shared" ref="P11:P12" si="28">IF(O11=1,(K11+M11)*($D$1),0)</f>
        <v>0</v>
      </c>
      <c r="Q11" s="16">
        <f t="shared" ref="Q11:Q12" si="29">ROUNDUP(K11+M11+N11+P11,0)</f>
        <v>43</v>
      </c>
      <c r="R11" s="61" t="str">
        <f>VLOOKUP($C11,Items!$A$2:$AE$10014,11,FALSE)</f>
        <v>Material</v>
      </c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  <c r="EI11" s="22"/>
      <c r="EJ11" s="22"/>
      <c r="EK11" s="22"/>
      <c r="EL11" s="22"/>
      <c r="EM11" s="22"/>
      <c r="EN11" s="22"/>
      <c r="EO11" s="22"/>
      <c r="EP11" s="22"/>
      <c r="EQ11" s="22"/>
      <c r="ER11" s="22"/>
    </row>
    <row r="12" spans="1:148" x14ac:dyDescent="0.25">
      <c r="A12" s="6">
        <f>A4*1</f>
        <v>1</v>
      </c>
      <c r="B12" s="7" t="str">
        <f>VLOOKUP($C12,Items!$A$2:$AE$10014,5,FALSE)</f>
        <v>ea</v>
      </c>
      <c r="C12" s="41" t="s">
        <v>42</v>
      </c>
      <c r="D12" s="6">
        <f>VLOOKUP($C12,Items!$A$2:$AE$10014,2,FALSE)</f>
        <v>0</v>
      </c>
      <c r="E12" s="28">
        <f>VLOOKUP($C12,Items!$A$2:$AE$10014,6,FALSE)</f>
        <v>1</v>
      </c>
      <c r="F12" s="28">
        <f>VLOOKUP($C12,Items!$A$2:$AE$10014,7,FALSE)</f>
        <v>1</v>
      </c>
      <c r="G12" s="28">
        <f>VLOOKUP($C12,Items!$A$2:$AE$10014,8,FALSE)</f>
        <v>1</v>
      </c>
      <c r="H12" s="28">
        <f>IF(E12=0,+VLOOKUP($C12,Items!$A$2:$AE$10014,9,FALSE),+VLOOKUP($C12,Items!$A$2:$AE$10014,9,FALSE)*E12*F12*G12)</f>
        <v>0.41666999999999998</v>
      </c>
      <c r="I12" s="29">
        <f>IF(E12=0,+VLOOKUP($C12,Items!$A$2:$AE$10014,10,FALSE)*A12,(A12*H12))</f>
        <v>0.41666999999999998</v>
      </c>
      <c r="J12" s="8">
        <f>IF(E12=0,+VLOOKUP($C12,Items!$A$2:$AE$10014,3,FALSE),+VLOOKUP($C12,Items!$A$2:$AE$10014,3,FALSE)*H12)</f>
        <v>0.7291725</v>
      </c>
      <c r="K12" s="16">
        <f t="shared" si="25"/>
        <v>0.7291725</v>
      </c>
      <c r="L12" s="36">
        <f t="shared" si="26"/>
        <v>0</v>
      </c>
      <c r="M12" s="16">
        <f t="shared" si="27"/>
        <v>0</v>
      </c>
      <c r="N12" s="17">
        <f>VLOOKUP($C12,Items!$A$2:$AE$10014,4,FALSE)*A12</f>
        <v>0</v>
      </c>
      <c r="O12" s="9">
        <v>0</v>
      </c>
      <c r="P12" s="18">
        <f t="shared" si="28"/>
        <v>0</v>
      </c>
      <c r="Q12" s="16">
        <f t="shared" si="29"/>
        <v>1</v>
      </c>
      <c r="R12" s="61" t="str">
        <f>VLOOKUP($C12,Items!$A$2:$AE$10014,11,FALSE)</f>
        <v>Material</v>
      </c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</row>
    <row r="13" spans="1:148" x14ac:dyDescent="0.25">
      <c r="A13" s="6">
        <f>A4*12</f>
        <v>12</v>
      </c>
      <c r="B13" s="7" t="str">
        <f>VLOOKUP($C13,Items!$A$2:$AE$10014,5,FALSE)</f>
        <v>mh</v>
      </c>
      <c r="C13" s="41" t="s">
        <v>46</v>
      </c>
      <c r="D13" s="6">
        <f>VLOOKUP($C13,Items!$A$2:$AE$10014,2,FALSE)</f>
        <v>0</v>
      </c>
      <c r="E13" s="28">
        <f>VLOOKUP($C13,Items!$A$2:$AE$10014,6,FALSE)</f>
        <v>0</v>
      </c>
      <c r="F13" s="28">
        <f>VLOOKUP($C13,Items!$A$2:$AE$10014,7,FALSE)</f>
        <v>0</v>
      </c>
      <c r="G13" s="28">
        <f>VLOOKUP($C13,Items!$A$2:$AE$10014,8,FALSE)</f>
        <v>0</v>
      </c>
      <c r="H13" s="28">
        <f>IF(E13=0,+VLOOKUP($C13,Items!$A$2:$AE$10014,9,FALSE),+VLOOKUP($C13,Items!$A$2:$AE$10014,9,FALSE)*E13*F13*G13)</f>
        <v>0</v>
      </c>
      <c r="I13" s="29">
        <f>IF(E13=0,+VLOOKUP($C13,Items!$A$2:$AE$10014,10,FALSE)*A13,(A13*H13))</f>
        <v>0</v>
      </c>
      <c r="J13" s="8">
        <f>IF(E13=0,+VLOOKUP($C13,Items!$A$2:$AE$10014,3,FALSE),+VLOOKUP($C13,Items!$A$2:$AE$10014,3,FALSE)*H13)</f>
        <v>38</v>
      </c>
      <c r="K13" s="16">
        <f t="shared" ref="K13" si="30">A13*J13</f>
        <v>456</v>
      </c>
      <c r="L13" s="36">
        <f t="shared" ref="L13" si="31">IF(R13="Labor",$D$2,$D$3)</f>
        <v>0</v>
      </c>
      <c r="M13" s="16">
        <f t="shared" ref="M13" si="32">K13*L13</f>
        <v>0</v>
      </c>
      <c r="N13" s="17">
        <f>VLOOKUP($C13,Items!$A$2:$AE$10014,4,FALSE)*A13</f>
        <v>192</v>
      </c>
      <c r="O13" s="9">
        <v>0</v>
      </c>
      <c r="P13" s="18">
        <f t="shared" ref="P13" si="33">IF(O13=1,(K13+M13)*($D$1),0)</f>
        <v>0</v>
      </c>
      <c r="Q13" s="16">
        <f t="shared" ref="Q13" si="34">ROUNDUP(K13+M13+N13+P13,0)</f>
        <v>648</v>
      </c>
      <c r="R13" s="61" t="str">
        <f>VLOOKUP($C13,Items!$A$2:$AE$10014,11,FALSE)</f>
        <v>Labor</v>
      </c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  <c r="EI13" s="22"/>
      <c r="EJ13" s="22"/>
      <c r="EK13" s="22"/>
      <c r="EL13" s="22"/>
      <c r="EM13" s="22"/>
      <c r="EN13" s="22"/>
      <c r="EO13" s="22"/>
      <c r="EP13" s="22"/>
      <c r="EQ13" s="22"/>
      <c r="ER13" s="22"/>
    </row>
  </sheetData>
  <conditionalFormatting sqref="E6:G6">
    <cfRule type="cellIs" dxfId="87" priority="88" operator="lessThanOrEqual">
      <formula>0.0001</formula>
    </cfRule>
  </conditionalFormatting>
  <conditionalFormatting sqref="B6">
    <cfRule type="cellIs" dxfId="86" priority="87" operator="equal">
      <formula>0</formula>
    </cfRule>
  </conditionalFormatting>
  <conditionalFormatting sqref="D6">
    <cfRule type="cellIs" dxfId="85" priority="86" operator="equal">
      <formula>0</formula>
    </cfRule>
  </conditionalFormatting>
  <conditionalFormatting sqref="H6:I6">
    <cfRule type="cellIs" dxfId="84" priority="85" operator="equal">
      <formula>$E6</formula>
    </cfRule>
  </conditionalFormatting>
  <conditionalFormatting sqref="I6">
    <cfRule type="cellIs" dxfId="83" priority="84" operator="equal">
      <formula>$E6</formula>
    </cfRule>
  </conditionalFormatting>
  <conditionalFormatting sqref="R6">
    <cfRule type="cellIs" dxfId="82" priority="83" operator="lessThanOrEqual">
      <formula>0.001</formula>
    </cfRule>
  </conditionalFormatting>
  <conditionalFormatting sqref="E6:G6">
    <cfRule type="cellIs" dxfId="81" priority="82" operator="lessThanOrEqual">
      <formula>0.0001</formula>
    </cfRule>
  </conditionalFormatting>
  <conditionalFormatting sqref="B6">
    <cfRule type="cellIs" dxfId="80" priority="81" operator="equal">
      <formula>0</formula>
    </cfRule>
  </conditionalFormatting>
  <conditionalFormatting sqref="D6">
    <cfRule type="cellIs" dxfId="79" priority="80" operator="equal">
      <formula>0</formula>
    </cfRule>
  </conditionalFormatting>
  <conditionalFormatting sqref="H6:I6">
    <cfRule type="cellIs" dxfId="78" priority="79" operator="equal">
      <formula>$E6</formula>
    </cfRule>
  </conditionalFormatting>
  <conditionalFormatting sqref="R6">
    <cfRule type="cellIs" dxfId="77" priority="78" operator="lessThanOrEqual">
      <formula>0.001</formula>
    </cfRule>
  </conditionalFormatting>
  <conditionalFormatting sqref="E7:G7">
    <cfRule type="cellIs" dxfId="76" priority="77" operator="lessThanOrEqual">
      <formula>0.0001</formula>
    </cfRule>
  </conditionalFormatting>
  <conditionalFormatting sqref="B7">
    <cfRule type="cellIs" dxfId="75" priority="76" operator="equal">
      <formula>0</formula>
    </cfRule>
  </conditionalFormatting>
  <conditionalFormatting sqref="D7">
    <cfRule type="cellIs" dxfId="74" priority="75" operator="equal">
      <formula>0</formula>
    </cfRule>
  </conditionalFormatting>
  <conditionalFormatting sqref="H7:I7">
    <cfRule type="cellIs" dxfId="73" priority="74" operator="equal">
      <formula>$E7</formula>
    </cfRule>
  </conditionalFormatting>
  <conditionalFormatting sqref="I7">
    <cfRule type="cellIs" dxfId="72" priority="73" operator="equal">
      <formula>$E7</formula>
    </cfRule>
  </conditionalFormatting>
  <conditionalFormatting sqref="R7">
    <cfRule type="cellIs" dxfId="71" priority="72" operator="lessThanOrEqual">
      <formula>0.001</formula>
    </cfRule>
  </conditionalFormatting>
  <conditionalFormatting sqref="E7:G7">
    <cfRule type="cellIs" dxfId="70" priority="71" operator="lessThanOrEqual">
      <formula>0.0001</formula>
    </cfRule>
  </conditionalFormatting>
  <conditionalFormatting sqref="B7">
    <cfRule type="cellIs" dxfId="69" priority="70" operator="equal">
      <formula>0</formula>
    </cfRule>
  </conditionalFormatting>
  <conditionalFormatting sqref="D7">
    <cfRule type="cellIs" dxfId="68" priority="69" operator="equal">
      <formula>0</formula>
    </cfRule>
  </conditionalFormatting>
  <conditionalFormatting sqref="H7:I7">
    <cfRule type="cellIs" dxfId="67" priority="68" operator="equal">
      <formula>$E7</formula>
    </cfRule>
  </conditionalFormatting>
  <conditionalFormatting sqref="R7">
    <cfRule type="cellIs" dxfId="66" priority="67" operator="lessThanOrEqual">
      <formula>0.001</formula>
    </cfRule>
  </conditionalFormatting>
  <conditionalFormatting sqref="E8:G8">
    <cfRule type="cellIs" dxfId="65" priority="66" operator="lessThanOrEqual">
      <formula>0.0001</formula>
    </cfRule>
  </conditionalFormatting>
  <conditionalFormatting sqref="B8">
    <cfRule type="cellIs" dxfId="64" priority="65" operator="equal">
      <formula>0</formula>
    </cfRule>
  </conditionalFormatting>
  <conditionalFormatting sqref="D8">
    <cfRule type="cellIs" dxfId="63" priority="64" operator="equal">
      <formula>0</formula>
    </cfRule>
  </conditionalFormatting>
  <conditionalFormatting sqref="H8:I8">
    <cfRule type="cellIs" dxfId="62" priority="63" operator="equal">
      <formula>$E8</formula>
    </cfRule>
  </conditionalFormatting>
  <conditionalFormatting sqref="I8">
    <cfRule type="cellIs" dxfId="61" priority="62" operator="equal">
      <formula>$E8</formula>
    </cfRule>
  </conditionalFormatting>
  <conditionalFormatting sqref="R8">
    <cfRule type="cellIs" dxfId="60" priority="61" operator="lessThanOrEqual">
      <formula>0.001</formula>
    </cfRule>
  </conditionalFormatting>
  <conditionalFormatting sqref="E8:G8">
    <cfRule type="cellIs" dxfId="59" priority="60" operator="lessThanOrEqual">
      <formula>0.0001</formula>
    </cfRule>
  </conditionalFormatting>
  <conditionalFormatting sqref="B8">
    <cfRule type="cellIs" dxfId="58" priority="59" operator="equal">
      <formula>0</formula>
    </cfRule>
  </conditionalFormatting>
  <conditionalFormatting sqref="D8">
    <cfRule type="cellIs" dxfId="57" priority="58" operator="equal">
      <formula>0</formula>
    </cfRule>
  </conditionalFormatting>
  <conditionalFormatting sqref="H8:I8">
    <cfRule type="cellIs" dxfId="56" priority="57" operator="equal">
      <formula>$E8</formula>
    </cfRule>
  </conditionalFormatting>
  <conditionalFormatting sqref="R8">
    <cfRule type="cellIs" dxfId="55" priority="56" operator="lessThanOrEqual">
      <formula>0.001</formula>
    </cfRule>
  </conditionalFormatting>
  <conditionalFormatting sqref="E9:G9">
    <cfRule type="cellIs" dxfId="54" priority="55" operator="lessThanOrEqual">
      <formula>0.0001</formula>
    </cfRule>
  </conditionalFormatting>
  <conditionalFormatting sqref="B9">
    <cfRule type="cellIs" dxfId="53" priority="54" operator="equal">
      <formula>0</formula>
    </cfRule>
  </conditionalFormatting>
  <conditionalFormatting sqref="D9">
    <cfRule type="cellIs" dxfId="52" priority="53" operator="equal">
      <formula>0</formula>
    </cfRule>
  </conditionalFormatting>
  <conditionalFormatting sqref="H9:I9">
    <cfRule type="cellIs" dxfId="51" priority="52" operator="equal">
      <formula>$E9</formula>
    </cfRule>
  </conditionalFormatting>
  <conditionalFormatting sqref="I9">
    <cfRule type="cellIs" dxfId="50" priority="51" operator="equal">
      <formula>$E9</formula>
    </cfRule>
  </conditionalFormatting>
  <conditionalFormatting sqref="R9">
    <cfRule type="cellIs" dxfId="49" priority="50" operator="lessThanOrEqual">
      <formula>0.001</formula>
    </cfRule>
  </conditionalFormatting>
  <conditionalFormatting sqref="E9:G9">
    <cfRule type="cellIs" dxfId="48" priority="49" operator="lessThanOrEqual">
      <formula>0.0001</formula>
    </cfRule>
  </conditionalFormatting>
  <conditionalFormatting sqref="B9">
    <cfRule type="cellIs" dxfId="47" priority="48" operator="equal">
      <formula>0</formula>
    </cfRule>
  </conditionalFormatting>
  <conditionalFormatting sqref="D9">
    <cfRule type="cellIs" dxfId="46" priority="47" operator="equal">
      <formula>0</formula>
    </cfRule>
  </conditionalFormatting>
  <conditionalFormatting sqref="H9:I9">
    <cfRule type="cellIs" dxfId="45" priority="46" operator="equal">
      <formula>$E9</formula>
    </cfRule>
  </conditionalFormatting>
  <conditionalFormatting sqref="R9">
    <cfRule type="cellIs" dxfId="44" priority="45" operator="lessThanOrEqual">
      <formula>0.001</formula>
    </cfRule>
  </conditionalFormatting>
  <conditionalFormatting sqref="E10:G10">
    <cfRule type="cellIs" dxfId="43" priority="44" operator="lessThanOrEqual">
      <formula>0.0001</formula>
    </cfRule>
  </conditionalFormatting>
  <conditionalFormatting sqref="B10">
    <cfRule type="cellIs" dxfId="42" priority="43" operator="equal">
      <formula>0</formula>
    </cfRule>
  </conditionalFormatting>
  <conditionalFormatting sqref="D10">
    <cfRule type="cellIs" dxfId="41" priority="42" operator="equal">
      <formula>0</formula>
    </cfRule>
  </conditionalFormatting>
  <conditionalFormatting sqref="H10:I10">
    <cfRule type="cellIs" dxfId="40" priority="41" operator="equal">
      <formula>$E10</formula>
    </cfRule>
  </conditionalFormatting>
  <conditionalFormatting sqref="I10">
    <cfRule type="cellIs" dxfId="39" priority="40" operator="equal">
      <formula>$E10</formula>
    </cfRule>
  </conditionalFormatting>
  <conditionalFormatting sqref="R10">
    <cfRule type="cellIs" dxfId="38" priority="39" operator="lessThanOrEqual">
      <formula>0.001</formula>
    </cfRule>
  </conditionalFormatting>
  <conditionalFormatting sqref="E10:G10">
    <cfRule type="cellIs" dxfId="37" priority="38" operator="lessThanOrEqual">
      <formula>0.0001</formula>
    </cfRule>
  </conditionalFormatting>
  <conditionalFormatting sqref="B10">
    <cfRule type="cellIs" dxfId="36" priority="37" operator="equal">
      <formula>0</formula>
    </cfRule>
  </conditionalFormatting>
  <conditionalFormatting sqref="D10">
    <cfRule type="cellIs" dxfId="35" priority="36" operator="equal">
      <formula>0</formula>
    </cfRule>
  </conditionalFormatting>
  <conditionalFormatting sqref="H10:I10">
    <cfRule type="cellIs" dxfId="34" priority="35" operator="equal">
      <formula>$E10</formula>
    </cfRule>
  </conditionalFormatting>
  <conditionalFormatting sqref="R10">
    <cfRule type="cellIs" dxfId="33" priority="34" operator="lessThanOrEqual">
      <formula>0.001</formula>
    </cfRule>
  </conditionalFormatting>
  <conditionalFormatting sqref="E11:G11">
    <cfRule type="cellIs" dxfId="32" priority="33" operator="lessThanOrEqual">
      <formula>0.0001</formula>
    </cfRule>
  </conditionalFormatting>
  <conditionalFormatting sqref="B11">
    <cfRule type="cellIs" dxfId="31" priority="32" operator="equal">
      <formula>0</formula>
    </cfRule>
  </conditionalFormatting>
  <conditionalFormatting sqref="D11">
    <cfRule type="cellIs" dxfId="30" priority="31" operator="equal">
      <formula>0</formula>
    </cfRule>
  </conditionalFormatting>
  <conditionalFormatting sqref="H11:I11">
    <cfRule type="cellIs" dxfId="29" priority="30" operator="equal">
      <formula>$E11</formula>
    </cfRule>
  </conditionalFormatting>
  <conditionalFormatting sqref="I11">
    <cfRule type="cellIs" dxfId="28" priority="29" operator="equal">
      <formula>$E11</formula>
    </cfRule>
  </conditionalFormatting>
  <conditionalFormatting sqref="R11">
    <cfRule type="cellIs" dxfId="27" priority="28" operator="lessThanOrEqual">
      <formula>0.001</formula>
    </cfRule>
  </conditionalFormatting>
  <conditionalFormatting sqref="E11:G11">
    <cfRule type="cellIs" dxfId="26" priority="27" operator="lessThanOrEqual">
      <formula>0.0001</formula>
    </cfRule>
  </conditionalFormatting>
  <conditionalFormatting sqref="B11">
    <cfRule type="cellIs" dxfId="25" priority="26" operator="equal">
      <formula>0</formula>
    </cfRule>
  </conditionalFormatting>
  <conditionalFormatting sqref="D11">
    <cfRule type="cellIs" dxfId="24" priority="25" operator="equal">
      <formula>0</formula>
    </cfRule>
  </conditionalFormatting>
  <conditionalFormatting sqref="H11:I11">
    <cfRule type="cellIs" dxfId="23" priority="24" operator="equal">
      <formula>$E11</formula>
    </cfRule>
  </conditionalFormatting>
  <conditionalFormatting sqref="R11">
    <cfRule type="cellIs" dxfId="22" priority="23" operator="lessThanOrEqual">
      <formula>0.001</formula>
    </cfRule>
  </conditionalFormatting>
  <conditionalFormatting sqref="E12:G12">
    <cfRule type="cellIs" dxfId="21" priority="22" operator="lessThanOrEqual">
      <formula>0.0001</formula>
    </cfRule>
  </conditionalFormatting>
  <conditionalFormatting sqref="B12">
    <cfRule type="cellIs" dxfId="20" priority="21" operator="equal">
      <formula>0</formula>
    </cfRule>
  </conditionalFormatting>
  <conditionalFormatting sqref="D12">
    <cfRule type="cellIs" dxfId="19" priority="20" operator="equal">
      <formula>0</formula>
    </cfRule>
  </conditionalFormatting>
  <conditionalFormatting sqref="H12:I12">
    <cfRule type="cellIs" dxfId="18" priority="19" operator="equal">
      <formula>$E12</formula>
    </cfRule>
  </conditionalFormatting>
  <conditionalFormatting sqref="I12">
    <cfRule type="cellIs" dxfId="17" priority="18" operator="equal">
      <formula>$E12</formula>
    </cfRule>
  </conditionalFormatting>
  <conditionalFormatting sqref="R12">
    <cfRule type="cellIs" dxfId="16" priority="17" operator="lessThanOrEqual">
      <formula>0.001</formula>
    </cfRule>
  </conditionalFormatting>
  <conditionalFormatting sqref="E12:G12">
    <cfRule type="cellIs" dxfId="15" priority="16" operator="lessThanOrEqual">
      <formula>0.0001</formula>
    </cfRule>
  </conditionalFormatting>
  <conditionalFormatting sqref="B12">
    <cfRule type="cellIs" dxfId="14" priority="15" operator="equal">
      <formula>0</formula>
    </cfRule>
  </conditionalFormatting>
  <conditionalFormatting sqref="D12">
    <cfRule type="cellIs" dxfId="13" priority="14" operator="equal">
      <formula>0</formula>
    </cfRule>
  </conditionalFormatting>
  <conditionalFormatting sqref="H12:I12">
    <cfRule type="cellIs" dxfId="12" priority="13" operator="equal">
      <formula>$E12</formula>
    </cfRule>
  </conditionalFormatting>
  <conditionalFormatting sqref="R12">
    <cfRule type="cellIs" dxfId="11" priority="12" operator="lessThanOrEqual">
      <formula>0.001</formula>
    </cfRule>
  </conditionalFormatting>
  <conditionalFormatting sqref="E13:G13">
    <cfRule type="cellIs" dxfId="10" priority="11" operator="lessThanOrEqual">
      <formula>0.0001</formula>
    </cfRule>
  </conditionalFormatting>
  <conditionalFormatting sqref="B13">
    <cfRule type="cellIs" dxfId="9" priority="10" operator="equal">
      <formula>0</formula>
    </cfRule>
  </conditionalFormatting>
  <conditionalFormatting sqref="D13">
    <cfRule type="cellIs" dxfId="8" priority="9" operator="equal">
      <formula>0</formula>
    </cfRule>
  </conditionalFormatting>
  <conditionalFormatting sqref="H13:I13">
    <cfRule type="cellIs" dxfId="7" priority="8" operator="equal">
      <formula>$E13</formula>
    </cfRule>
  </conditionalFormatting>
  <conditionalFormatting sqref="I13">
    <cfRule type="cellIs" dxfId="6" priority="7" operator="equal">
      <formula>$E13</formula>
    </cfRule>
  </conditionalFormatting>
  <conditionalFormatting sqref="R13">
    <cfRule type="cellIs" dxfId="5" priority="6" operator="lessThanOrEqual">
      <formula>0.001</formula>
    </cfRule>
  </conditionalFormatting>
  <conditionalFormatting sqref="E13:G13">
    <cfRule type="cellIs" dxfId="4" priority="5" operator="lessThanOrEqual">
      <formula>0.0001</formula>
    </cfRule>
  </conditionalFormatting>
  <conditionalFormatting sqref="B13">
    <cfRule type="cellIs" dxfId="3" priority="4" operator="equal">
      <formula>0</formula>
    </cfRule>
  </conditionalFormatting>
  <conditionalFormatting sqref="D13">
    <cfRule type="cellIs" dxfId="2" priority="3" operator="equal">
      <formula>0</formula>
    </cfRule>
  </conditionalFormatting>
  <conditionalFormatting sqref="H13:I13">
    <cfRule type="cellIs" dxfId="1" priority="2" operator="equal">
      <formula>$E13</formula>
    </cfRule>
  </conditionalFormatting>
  <conditionalFormatting sqref="R13">
    <cfRule type="cellIs" dxfId="0" priority="1" operator="lessThanOrEqual">
      <formula>0.001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Items!A2:A100014</xm:f>
          </x14:formula1>
          <xm:sqref>C6:C13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D20"/>
  <sheetViews>
    <sheetView workbookViewId="0">
      <selection sqref="A1:D20"/>
    </sheetView>
  </sheetViews>
  <sheetFormatPr defaultRowHeight="15" x14ac:dyDescent="0.25"/>
  <cols>
    <col min="1" max="1" width="47.28515625" bestFit="1" customWidth="1"/>
    <col min="3" max="3" width="10" bestFit="1" customWidth="1"/>
  </cols>
  <sheetData>
    <row r="1" spans="1:4" x14ac:dyDescent="0.25">
      <c r="A1" s="77" t="s">
        <v>232</v>
      </c>
      <c r="B1" s="78" t="s">
        <v>221</v>
      </c>
      <c r="C1" s="78" t="s">
        <v>225</v>
      </c>
      <c r="D1" s="78" t="s">
        <v>6</v>
      </c>
    </row>
    <row r="2" spans="1:4" x14ac:dyDescent="0.25">
      <c r="A2" t="s">
        <v>282</v>
      </c>
      <c r="B2" s="2">
        <v>56</v>
      </c>
      <c r="C2" s="2">
        <v>2</v>
      </c>
      <c r="D2" s="2">
        <f>B2*C2</f>
        <v>112</v>
      </c>
    </row>
    <row r="3" spans="1:4" x14ac:dyDescent="0.25">
      <c r="A3" t="s">
        <v>284</v>
      </c>
      <c r="B3" s="2">
        <v>16</v>
      </c>
      <c r="C3" s="2">
        <v>2</v>
      </c>
      <c r="D3" s="2">
        <f>B3*C3</f>
        <v>32</v>
      </c>
    </row>
    <row r="4" spans="1:4" x14ac:dyDescent="0.25">
      <c r="A4" t="s">
        <v>285</v>
      </c>
      <c r="B4" s="2">
        <v>24</v>
      </c>
      <c r="C4" s="2">
        <v>2</v>
      </c>
      <c r="D4" s="2">
        <f>B4*C4</f>
        <v>48</v>
      </c>
    </row>
    <row r="5" spans="1:4" x14ac:dyDescent="0.25">
      <c r="B5" s="2"/>
      <c r="C5" s="2"/>
      <c r="D5" s="2"/>
    </row>
    <row r="6" spans="1:4" x14ac:dyDescent="0.25">
      <c r="B6" s="2"/>
      <c r="C6" s="2"/>
      <c r="D6" s="2"/>
    </row>
    <row r="7" spans="1:4" x14ac:dyDescent="0.25">
      <c r="A7" s="77" t="s">
        <v>231</v>
      </c>
      <c r="B7" s="78" t="s">
        <v>221</v>
      </c>
      <c r="C7" s="78" t="s">
        <v>225</v>
      </c>
      <c r="D7" s="78" t="s">
        <v>6</v>
      </c>
    </row>
    <row r="8" spans="1:4" x14ac:dyDescent="0.25">
      <c r="A8" t="s">
        <v>283</v>
      </c>
      <c r="B8" s="2">
        <v>48</v>
      </c>
      <c r="C8" s="2">
        <v>2</v>
      </c>
      <c r="D8" s="2">
        <f>B8*C8</f>
        <v>96</v>
      </c>
    </row>
    <row r="9" spans="1:4" x14ac:dyDescent="0.25">
      <c r="A9" t="s">
        <v>284</v>
      </c>
      <c r="B9" s="2">
        <v>16</v>
      </c>
      <c r="C9" s="2">
        <v>2</v>
      </c>
      <c r="D9" s="2">
        <f>B9*C9</f>
        <v>32</v>
      </c>
    </row>
    <row r="10" spans="1:4" x14ac:dyDescent="0.25">
      <c r="A10" t="s">
        <v>285</v>
      </c>
      <c r="B10" s="2">
        <v>24</v>
      </c>
      <c r="C10" s="2">
        <v>2</v>
      </c>
      <c r="D10" s="2">
        <f>B10*C10</f>
        <v>48</v>
      </c>
    </row>
    <row r="11" spans="1:4" x14ac:dyDescent="0.25">
      <c r="B11" s="2"/>
      <c r="C11" s="2"/>
      <c r="D11" s="2"/>
    </row>
    <row r="12" spans="1:4" x14ac:dyDescent="0.25">
      <c r="A12" s="77" t="s">
        <v>230</v>
      </c>
      <c r="B12" s="78" t="s">
        <v>221</v>
      </c>
      <c r="C12" s="78" t="s">
        <v>225</v>
      </c>
      <c r="D12" s="78" t="s">
        <v>6</v>
      </c>
    </row>
    <row r="13" spans="1:4" x14ac:dyDescent="0.25">
      <c r="A13" t="s">
        <v>228</v>
      </c>
      <c r="B13" s="2">
        <v>24</v>
      </c>
      <c r="C13" s="2">
        <v>1</v>
      </c>
      <c r="D13" s="2">
        <f>B13*C13</f>
        <v>24</v>
      </c>
    </row>
    <row r="14" spans="1:4" x14ac:dyDescent="0.25">
      <c r="A14" t="s">
        <v>229</v>
      </c>
      <c r="B14" s="2">
        <v>32</v>
      </c>
      <c r="C14" s="2">
        <v>1</v>
      </c>
      <c r="D14" s="2">
        <f>B14*C14</f>
        <v>32</v>
      </c>
    </row>
    <row r="15" spans="1:4" x14ac:dyDescent="0.25">
      <c r="A15" t="s">
        <v>222</v>
      </c>
      <c r="B15" s="2">
        <v>32</v>
      </c>
      <c r="C15" s="2">
        <v>1</v>
      </c>
      <c r="D15" s="2">
        <f t="shared" ref="D15:D19" si="0">B15*C15</f>
        <v>32</v>
      </c>
    </row>
    <row r="16" spans="1:4" x14ac:dyDescent="0.25">
      <c r="A16" t="s">
        <v>223</v>
      </c>
      <c r="B16" s="2">
        <v>40</v>
      </c>
      <c r="C16" s="2">
        <v>1</v>
      </c>
      <c r="D16" s="2">
        <f t="shared" si="0"/>
        <v>40</v>
      </c>
    </row>
    <row r="17" spans="1:4" x14ac:dyDescent="0.25">
      <c r="A17" t="s">
        <v>224</v>
      </c>
      <c r="B17" s="2">
        <v>10</v>
      </c>
      <c r="C17" s="2">
        <v>2</v>
      </c>
      <c r="D17" s="2">
        <f t="shared" si="0"/>
        <v>20</v>
      </c>
    </row>
    <row r="18" spans="1:4" x14ac:dyDescent="0.25">
      <c r="A18" t="s">
        <v>226</v>
      </c>
      <c r="B18" s="2">
        <v>20</v>
      </c>
      <c r="C18" s="2">
        <v>2</v>
      </c>
      <c r="D18" s="2">
        <f t="shared" si="0"/>
        <v>40</v>
      </c>
    </row>
    <row r="19" spans="1:4" x14ac:dyDescent="0.25">
      <c r="A19" t="s">
        <v>227</v>
      </c>
      <c r="B19" s="2">
        <v>30</v>
      </c>
      <c r="C19" s="2">
        <v>3</v>
      </c>
      <c r="D19" s="2">
        <f t="shared" si="0"/>
        <v>90</v>
      </c>
    </row>
    <row r="20" spans="1:4" x14ac:dyDescent="0.25">
      <c r="A20" t="s">
        <v>286</v>
      </c>
      <c r="B20" s="2">
        <v>16</v>
      </c>
      <c r="C20" s="2">
        <v>2</v>
      </c>
      <c r="D20" s="2">
        <f>B20*C20</f>
        <v>32</v>
      </c>
    </row>
  </sheetData>
  <pageMargins left="0.7" right="0.7" top="0.75" bottom="0.75" header="0.3" footer="0.3"/>
  <pageSetup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Quote Worksheet</vt:lpstr>
      <vt:lpstr>Items</vt:lpstr>
      <vt:lpstr>Labor Calculations</vt:lpstr>
      <vt:lpstr>GroupItemsList</vt:lpstr>
      <vt:lpstr>VaultDoors</vt:lpstr>
      <vt:lpstr>drywall</vt:lpstr>
      <vt:lpstr>Lead Calculator</vt:lpstr>
      <vt:lpstr>Steel Calculator</vt:lpstr>
      <vt:lpstr>NewQuote</vt:lpstr>
      <vt:lpstr>plywood</vt:lpstr>
      <vt:lpstr>brick</vt:lpstr>
      <vt:lpstr>wood door</vt:lpstr>
      <vt:lpstr>Current Lead Times</vt:lpstr>
      <vt:lpstr>NewQuote!Print_Area</vt:lpstr>
      <vt:lpstr>'Quote Worksheet'!Print_Area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Kevin Smith</cp:lastModifiedBy>
  <cp:lastPrinted>2021-01-04T22:07:43Z</cp:lastPrinted>
  <dcterms:created xsi:type="dcterms:W3CDTF">2010-12-01T21:41:40Z</dcterms:created>
  <dcterms:modified xsi:type="dcterms:W3CDTF">2025-06-13T15:51:59Z</dcterms:modified>
</cp:coreProperties>
</file>